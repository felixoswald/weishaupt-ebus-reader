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N:\02_Freigabe\eBus Sammlung\wcm-com parameter\"/>
    </mc:Choice>
  </mc:AlternateContent>
  <xr:revisionPtr revIDLastSave="0" documentId="13_ncr:1_{A5F1310C-C448-40B1-BFDA-4F99C7E43235}" xr6:coauthVersionLast="44" xr6:coauthVersionMax="44" xr10:uidLastSave="{00000000-0000-0000-0000-000000000000}"/>
  <bookViews>
    <workbookView xWindow="-120" yWindow="-120" windowWidth="38640" windowHeight="212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179" i="1" l="1"/>
  <c r="J179" i="1"/>
  <c r="K178" i="1"/>
  <c r="J178" i="1"/>
  <c r="K177" i="1"/>
  <c r="J177" i="1"/>
  <c r="K176" i="1"/>
  <c r="J176" i="1"/>
  <c r="K175" i="1"/>
  <c r="J175" i="1"/>
  <c r="K174" i="1"/>
  <c r="J174" i="1"/>
  <c r="K173" i="1"/>
  <c r="J173" i="1"/>
  <c r="K172" i="1"/>
  <c r="J172" i="1"/>
  <c r="K171" i="1"/>
  <c r="J171" i="1"/>
  <c r="K170" i="1"/>
  <c r="J170" i="1"/>
  <c r="K169" i="1"/>
  <c r="J169" i="1"/>
  <c r="K168" i="1"/>
  <c r="J168" i="1"/>
  <c r="K167" i="1"/>
  <c r="J167" i="1"/>
  <c r="K166" i="1"/>
  <c r="J166" i="1"/>
  <c r="K165" i="1"/>
  <c r="J165" i="1"/>
  <c r="K164" i="1"/>
  <c r="J164" i="1"/>
  <c r="K163" i="1"/>
  <c r="J163" i="1"/>
  <c r="K162" i="1"/>
  <c r="J162" i="1"/>
  <c r="K161" i="1"/>
  <c r="J161" i="1"/>
  <c r="K160" i="1"/>
  <c r="J160" i="1"/>
  <c r="K159" i="1"/>
  <c r="J159" i="1"/>
  <c r="K158" i="1"/>
  <c r="J158" i="1"/>
  <c r="K157" i="1"/>
  <c r="J157" i="1"/>
  <c r="K156" i="1"/>
  <c r="J156" i="1"/>
  <c r="K155" i="1"/>
  <c r="J155" i="1"/>
  <c r="K154" i="1"/>
  <c r="J154" i="1"/>
  <c r="K153" i="1"/>
  <c r="J153" i="1"/>
  <c r="K152" i="1"/>
  <c r="J152" i="1"/>
  <c r="K151" i="1"/>
  <c r="J151" i="1"/>
  <c r="K150" i="1"/>
  <c r="J150" i="1"/>
  <c r="K149" i="1"/>
  <c r="J149" i="1"/>
  <c r="K148" i="1"/>
  <c r="J148" i="1"/>
  <c r="K147" i="1"/>
  <c r="J147" i="1"/>
  <c r="K146" i="1"/>
  <c r="J146" i="1"/>
  <c r="K145" i="1"/>
  <c r="J145" i="1"/>
  <c r="K144" i="1"/>
  <c r="J144" i="1"/>
  <c r="K143" i="1"/>
  <c r="J143" i="1"/>
  <c r="K142" i="1"/>
  <c r="J142" i="1"/>
  <c r="K141" i="1"/>
  <c r="J141" i="1"/>
  <c r="K140" i="1"/>
  <c r="J140" i="1"/>
  <c r="K139" i="1"/>
  <c r="J139" i="1"/>
  <c r="K138" i="1"/>
  <c r="J138" i="1"/>
  <c r="J54" i="1"/>
  <c r="G186" i="1"/>
  <c r="F186" i="1"/>
  <c r="G185" i="1"/>
  <c r="I185" i="1" s="1"/>
  <c r="F185" i="1"/>
  <c r="H185" i="1" s="1"/>
  <c r="G184" i="1"/>
  <c r="F184" i="1"/>
  <c r="G183" i="1"/>
  <c r="I183" i="1" s="1"/>
  <c r="F183" i="1"/>
  <c r="H183" i="1" s="1"/>
  <c r="G182" i="1"/>
  <c r="F182" i="1"/>
  <c r="G181" i="1"/>
  <c r="K181" i="1" s="1"/>
  <c r="F181" i="1"/>
  <c r="H181" i="1" s="1"/>
  <c r="G180" i="1"/>
  <c r="F180" i="1"/>
  <c r="G137" i="1"/>
  <c r="K137" i="1" s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H131" i="1" s="1"/>
  <c r="G88" i="1"/>
  <c r="F88" i="1"/>
  <c r="G87" i="1"/>
  <c r="F87" i="1"/>
  <c r="H87" i="1" s="1"/>
  <c r="G86" i="1"/>
  <c r="F86" i="1"/>
  <c r="G85" i="1"/>
  <c r="F85" i="1"/>
  <c r="H85" i="1" s="1"/>
  <c r="G84" i="1"/>
  <c r="F84" i="1"/>
  <c r="G83" i="1"/>
  <c r="F83" i="1"/>
  <c r="H83" i="1" s="1"/>
  <c r="G82" i="1"/>
  <c r="F82" i="1"/>
  <c r="G56" i="1"/>
  <c r="F56" i="1"/>
  <c r="H56" i="1" s="1"/>
  <c r="G55" i="1"/>
  <c r="F55" i="1"/>
  <c r="G54" i="1"/>
  <c r="F54" i="1"/>
  <c r="H54" i="1" s="1"/>
  <c r="G53" i="1"/>
  <c r="F53" i="1"/>
  <c r="G52" i="1"/>
  <c r="F52" i="1"/>
  <c r="H52" i="1" s="1"/>
  <c r="G51" i="1"/>
  <c r="F51" i="1"/>
  <c r="G50" i="1"/>
  <c r="F50" i="1"/>
  <c r="H50" i="1" s="1"/>
  <c r="G49" i="1"/>
  <c r="F49" i="1"/>
  <c r="G48" i="1"/>
  <c r="F48" i="1"/>
  <c r="H48" i="1" s="1"/>
  <c r="G47" i="1"/>
  <c r="F47" i="1"/>
  <c r="G46" i="1"/>
  <c r="F46" i="1"/>
  <c r="H46" i="1" s="1"/>
  <c r="G45" i="1"/>
  <c r="F45" i="1"/>
  <c r="G44" i="1"/>
  <c r="F44" i="1"/>
  <c r="H44" i="1" s="1"/>
  <c r="G43" i="1"/>
  <c r="F43" i="1"/>
  <c r="G42" i="1"/>
  <c r="F42" i="1"/>
  <c r="H42" i="1" s="1"/>
  <c r="G41" i="1"/>
  <c r="F41" i="1"/>
  <c r="G40" i="1"/>
  <c r="F40" i="1"/>
  <c r="H40" i="1" s="1"/>
  <c r="G39" i="1"/>
  <c r="F39" i="1"/>
  <c r="G25" i="1"/>
  <c r="F25" i="1"/>
  <c r="H25" i="1" s="1"/>
  <c r="G24" i="1"/>
  <c r="F24" i="1"/>
  <c r="H24" i="1" s="1"/>
  <c r="G23" i="1"/>
  <c r="F23" i="1"/>
  <c r="H23" i="1" s="1"/>
  <c r="G22" i="1"/>
  <c r="F22" i="1"/>
  <c r="G21" i="1"/>
  <c r="H21" i="1" s="1"/>
  <c r="I21" i="1" s="1"/>
  <c r="F21" i="1"/>
  <c r="G13" i="1"/>
  <c r="F13" i="1"/>
  <c r="G15" i="1"/>
  <c r="F15" i="1"/>
  <c r="H15" i="1" s="1"/>
  <c r="G14" i="1"/>
  <c r="F14" i="1"/>
  <c r="G20" i="1"/>
  <c r="F20" i="1"/>
  <c r="H20" i="1" s="1"/>
  <c r="G19" i="1"/>
  <c r="F19" i="1"/>
  <c r="G18" i="1"/>
  <c r="F18" i="1"/>
  <c r="H18" i="1" s="1"/>
  <c r="G17" i="1"/>
  <c r="F17" i="1"/>
  <c r="G16" i="1"/>
  <c r="F16" i="1"/>
  <c r="H16" i="1" s="1"/>
  <c r="I6" i="1"/>
  <c r="G3" i="1"/>
  <c r="F3" i="1"/>
  <c r="I3" i="1" s="1"/>
  <c r="G2" i="1"/>
  <c r="F2" i="1"/>
  <c r="G4" i="1"/>
  <c r="F4" i="1"/>
  <c r="J4" i="1" s="1"/>
  <c r="G11" i="1"/>
  <c r="F11" i="1"/>
  <c r="G10" i="1"/>
  <c r="I10" i="1" s="1"/>
  <c r="F10" i="1"/>
  <c r="H10" i="1" s="1"/>
  <c r="G9" i="1"/>
  <c r="F9" i="1"/>
  <c r="G8" i="1"/>
  <c r="F8" i="1"/>
  <c r="J8" i="1" s="1"/>
  <c r="G7" i="1"/>
  <c r="F7" i="1"/>
  <c r="G6" i="1"/>
  <c r="F6" i="1"/>
  <c r="H6" i="1" s="1"/>
  <c r="G12" i="1"/>
  <c r="F12" i="1"/>
  <c r="H4" i="1"/>
  <c r="I12" i="1" l="1"/>
  <c r="K7" i="1"/>
  <c r="K9" i="1"/>
  <c r="K11" i="1"/>
  <c r="I82" i="1"/>
  <c r="J87" i="1"/>
  <c r="H133" i="1"/>
  <c r="H135" i="1"/>
  <c r="H137" i="1"/>
  <c r="J10" i="1"/>
  <c r="J137" i="1"/>
  <c r="H3" i="1"/>
  <c r="J46" i="1"/>
  <c r="H8" i="1"/>
  <c r="J3" i="1"/>
  <c r="J40" i="1"/>
  <c r="J48" i="1"/>
  <c r="J56" i="1"/>
  <c r="J131" i="1"/>
  <c r="J181" i="1"/>
  <c r="K6" i="1"/>
  <c r="K8" i="1"/>
  <c r="K10" i="1"/>
  <c r="I4" i="1"/>
  <c r="K3" i="1"/>
  <c r="I8" i="1"/>
  <c r="K40" i="1"/>
  <c r="K42" i="1"/>
  <c r="K44" i="1"/>
  <c r="K46" i="1"/>
  <c r="K48" i="1"/>
  <c r="K50" i="1"/>
  <c r="K52" i="1"/>
  <c r="K54" i="1"/>
  <c r="K56" i="1"/>
  <c r="K83" i="1"/>
  <c r="K85" i="1"/>
  <c r="K87" i="1"/>
  <c r="K131" i="1"/>
  <c r="K133" i="1"/>
  <c r="K135" i="1"/>
  <c r="J6" i="1"/>
  <c r="J42" i="1"/>
  <c r="J50" i="1"/>
  <c r="J83" i="1"/>
  <c r="J133" i="1"/>
  <c r="J183" i="1"/>
  <c r="J12" i="1"/>
  <c r="J7" i="1"/>
  <c r="J9" i="1"/>
  <c r="J11" i="1"/>
  <c r="H2" i="1"/>
  <c r="J22" i="1"/>
  <c r="J24" i="1"/>
  <c r="H39" i="1"/>
  <c r="H41" i="1"/>
  <c r="H43" i="1"/>
  <c r="H45" i="1"/>
  <c r="H47" i="1"/>
  <c r="H49" i="1"/>
  <c r="H51" i="1"/>
  <c r="H53" i="1"/>
  <c r="H55" i="1"/>
  <c r="H82" i="1"/>
  <c r="H84" i="1"/>
  <c r="H86" i="1"/>
  <c r="H88" i="1"/>
  <c r="H132" i="1"/>
  <c r="H134" i="1"/>
  <c r="H136" i="1"/>
  <c r="H180" i="1"/>
  <c r="H182" i="1"/>
  <c r="H184" i="1"/>
  <c r="H186" i="1"/>
  <c r="J44" i="1"/>
  <c r="J52" i="1"/>
  <c r="J85" i="1"/>
  <c r="J135" i="1"/>
  <c r="J185" i="1"/>
  <c r="I84" i="1"/>
  <c r="I86" i="1"/>
  <c r="I88" i="1"/>
  <c r="I132" i="1"/>
  <c r="I134" i="1"/>
  <c r="I136" i="1"/>
  <c r="I180" i="1"/>
  <c r="I182" i="1"/>
  <c r="I184" i="1"/>
  <c r="I186" i="1"/>
  <c r="K12" i="1"/>
  <c r="K183" i="1"/>
  <c r="K185" i="1"/>
  <c r="H12" i="1"/>
  <c r="I19" i="1"/>
  <c r="I39" i="1"/>
  <c r="I43" i="1"/>
  <c r="I47" i="1"/>
  <c r="I49" i="1"/>
  <c r="I51" i="1"/>
  <c r="I55" i="1"/>
  <c r="H7" i="1"/>
  <c r="H9" i="1"/>
  <c r="H11" i="1"/>
  <c r="J2" i="1"/>
  <c r="J39" i="1"/>
  <c r="J41" i="1"/>
  <c r="J43" i="1"/>
  <c r="J45" i="1"/>
  <c r="J47" i="1"/>
  <c r="J49" i="1"/>
  <c r="J51" i="1"/>
  <c r="J53" i="1"/>
  <c r="J55" i="1"/>
  <c r="J82" i="1"/>
  <c r="J84" i="1"/>
  <c r="J86" i="1"/>
  <c r="J88" i="1"/>
  <c r="J132" i="1"/>
  <c r="J134" i="1"/>
  <c r="J136" i="1"/>
  <c r="J180" i="1"/>
  <c r="J182" i="1"/>
  <c r="J184" i="1"/>
  <c r="J186" i="1"/>
  <c r="I2" i="1"/>
  <c r="I41" i="1"/>
  <c r="I45" i="1"/>
  <c r="I53" i="1"/>
  <c r="I7" i="1"/>
  <c r="I9" i="1"/>
  <c r="I11" i="1"/>
  <c r="I40" i="1"/>
  <c r="I42" i="1"/>
  <c r="I44" i="1"/>
  <c r="I46" i="1"/>
  <c r="I48" i="1"/>
  <c r="I50" i="1"/>
  <c r="I52" i="1"/>
  <c r="I54" i="1"/>
  <c r="I56" i="1"/>
  <c r="I83" i="1"/>
  <c r="I85" i="1"/>
  <c r="I87" i="1"/>
  <c r="I131" i="1"/>
  <c r="I133" i="1"/>
  <c r="I135" i="1"/>
  <c r="I137" i="1"/>
  <c r="I181" i="1"/>
  <c r="K2" i="1"/>
  <c r="K4" i="1"/>
  <c r="K39" i="1"/>
  <c r="K41" i="1"/>
  <c r="K43" i="1"/>
  <c r="K45" i="1"/>
  <c r="K47" i="1"/>
  <c r="K49" i="1"/>
  <c r="K51" i="1"/>
  <c r="K53" i="1"/>
  <c r="K55" i="1"/>
  <c r="K82" i="1"/>
  <c r="K84" i="1"/>
  <c r="K86" i="1"/>
  <c r="K88" i="1"/>
  <c r="K132" i="1"/>
  <c r="K134" i="1"/>
  <c r="K136" i="1"/>
  <c r="K180" i="1"/>
  <c r="K182" i="1"/>
  <c r="K184" i="1"/>
  <c r="K186" i="1"/>
  <c r="I17" i="1"/>
  <c r="I14" i="1"/>
  <c r="I13" i="1"/>
  <c r="I22" i="1"/>
  <c r="I24" i="1"/>
  <c r="J23" i="1"/>
  <c r="J25" i="1"/>
  <c r="J19" i="1"/>
  <c r="J13" i="1"/>
  <c r="K17" i="1"/>
  <c r="K14" i="1"/>
  <c r="K13" i="1"/>
  <c r="K23" i="1"/>
  <c r="I16" i="1"/>
  <c r="I18" i="1"/>
  <c r="I15" i="1"/>
  <c r="I25" i="1"/>
  <c r="J16" i="1"/>
  <c r="J18" i="1"/>
  <c r="J20" i="1"/>
  <c r="J15" i="1"/>
  <c r="J17" i="1"/>
  <c r="J14" i="1"/>
  <c r="K19" i="1"/>
  <c r="K25" i="1"/>
  <c r="I20" i="1"/>
  <c r="I23" i="1"/>
  <c r="H17" i="1"/>
  <c r="H19" i="1"/>
  <c r="H14" i="1"/>
  <c r="H13" i="1"/>
  <c r="H22" i="1"/>
  <c r="K16" i="1"/>
  <c r="K18" i="1"/>
  <c r="K20" i="1"/>
  <c r="K15" i="1"/>
  <c r="K22" i="1"/>
  <c r="K24" i="1"/>
</calcChain>
</file>

<file path=xl/sharedStrings.xml><?xml version="1.0" encoding="utf-8"?>
<sst xmlns="http://schemas.openxmlformats.org/spreadsheetml/2006/main" count="1863" uniqueCount="262">
  <si>
    <t>Seite</t>
  </si>
  <si>
    <t>Startseite</t>
  </si>
  <si>
    <t>Wert</t>
  </si>
  <si>
    <t>Anzeige Webseite</t>
  </si>
  <si>
    <t>Wärmeanforderung</t>
  </si>
  <si>
    <t>Einheit</t>
  </si>
  <si>
    <t>°C</t>
  </si>
  <si>
    <t>Vorlauftemperatur</t>
  </si>
  <si>
    <t>Außentemperatur</t>
  </si>
  <si>
    <t>DATA2b</t>
  </si>
  <si>
    <t>DATA2c</t>
  </si>
  <si>
    <t>Wärmeerzeuger &gt; WTC-O &gt; Prozesswerte</t>
  </si>
  <si>
    <t>Flamme</t>
  </si>
  <si>
    <t>Magnetventil</t>
  </si>
  <si>
    <t>Magnetventil 2</t>
  </si>
  <si>
    <t>Pumpe</t>
  </si>
  <si>
    <t>Heizung</t>
  </si>
  <si>
    <t>Warmwasser</t>
  </si>
  <si>
    <t>Fehler</t>
  </si>
  <si>
    <t>Laststellung</t>
  </si>
  <si>
    <t>Gedämpfte Außentemperatur</t>
  </si>
  <si>
    <t>Vorlauftemperatur (eSTB)</t>
  </si>
  <si>
    <t>Abgastemperatur</t>
  </si>
  <si>
    <t>Warmwassertemperatur</t>
  </si>
  <si>
    <t>Puffertemperatur</t>
  </si>
  <si>
    <t>Schaltspielzähler Brenner</t>
  </si>
  <si>
    <t>Betriebsstunden Brenner</t>
  </si>
  <si>
    <t>Zeit seit letzter Wartung</t>
  </si>
  <si>
    <t>Ölzähler</t>
  </si>
  <si>
    <t>l</t>
  </si>
  <si>
    <t>h</t>
  </si>
  <si>
    <t>kW</t>
  </si>
  <si>
    <t>-</t>
  </si>
  <si>
    <t>on/off</t>
  </si>
  <si>
    <t>Betriebsphase</t>
  </si>
  <si>
    <t>Wärmeerzeuger &gt; WTC-O &gt; Fachmann</t>
  </si>
  <si>
    <t>Gerätekonfiguration</t>
  </si>
  <si>
    <t>Kessel-Adresse</t>
  </si>
  <si>
    <t>Sonderniveau Heizbetrieb</t>
  </si>
  <si>
    <t>Korrektur Außenfühler</t>
  </si>
  <si>
    <t>Anlagenfrostschutz</t>
  </si>
  <si>
    <t>Min. VL Soll</t>
  </si>
  <si>
    <t>Max. VL Soll</t>
  </si>
  <si>
    <t>Schaltdifferenz</t>
  </si>
  <si>
    <t>Brenner Taktsperre</t>
  </si>
  <si>
    <t>Max. Leistung Heizung</t>
  </si>
  <si>
    <t>Max. Ladezeit WW</t>
  </si>
  <si>
    <t>WAP</t>
  </si>
  <si>
    <t>A</t>
  </si>
  <si>
    <t>min</t>
  </si>
  <si>
    <t>K</t>
  </si>
  <si>
    <t>Wärmeerzeuger &gt; WCM-SOL &gt; Prozesswerte</t>
  </si>
  <si>
    <t>Status DTR</t>
  </si>
  <si>
    <t>B10 Puffer oben</t>
  </si>
  <si>
    <t>B11 Puffer unten</t>
  </si>
  <si>
    <t>T1 Kollektor</t>
  </si>
  <si>
    <t>T3 Solar Vorlauf</t>
  </si>
  <si>
    <t>T2 Solar unten</t>
  </si>
  <si>
    <t>T4 Solar Rücklauf</t>
  </si>
  <si>
    <t>Leistung</t>
  </si>
  <si>
    <t>Durchfluss</t>
  </si>
  <si>
    <t>Ertrag seit 11.6.2015</t>
  </si>
  <si>
    <t>Ertrag Gesamt</t>
  </si>
  <si>
    <t>Tagesertrag</t>
  </si>
  <si>
    <t>Überschuss HZ</t>
  </si>
  <si>
    <t>Überschuss WW</t>
  </si>
  <si>
    <t>Übertemp HZ</t>
  </si>
  <si>
    <t>Übertemp WW</t>
  </si>
  <si>
    <t>Akzeptanz HZ</t>
  </si>
  <si>
    <t>Akzeptanz WW</t>
  </si>
  <si>
    <t>kWh</t>
  </si>
  <si>
    <t>l/min</t>
  </si>
  <si>
    <t>kein Eintrag</t>
  </si>
  <si>
    <t>Wärmeerzeuger &gt; WCM-SOL &gt; Fachmann</t>
  </si>
  <si>
    <t>Solar Schema</t>
  </si>
  <si>
    <t>Kollektorfeld</t>
  </si>
  <si>
    <t>AP Max</t>
  </si>
  <si>
    <t>AP Min</t>
  </si>
  <si>
    <t>Konfiguration SOL</t>
  </si>
  <si>
    <t>Puffer Schaltdifferenz</t>
  </si>
  <si>
    <t>Puffer Überhöhung</t>
  </si>
  <si>
    <t>Umschalttemperatur P2/P1</t>
  </si>
  <si>
    <t>Min Volumenstrom</t>
  </si>
  <si>
    <t>Max Volumenstrom</t>
  </si>
  <si>
    <t>Min Kollektor</t>
  </si>
  <si>
    <t>Min Leistung / Kollektor</t>
  </si>
  <si>
    <t>Schaltdifferenz Ein</t>
  </si>
  <si>
    <t>Regeldifferenz</t>
  </si>
  <si>
    <t>Schaltdifferenz Aus</t>
  </si>
  <si>
    <t>Sol-Überschuss</t>
  </si>
  <si>
    <t>WES-C</t>
  </si>
  <si>
    <t>W</t>
  </si>
  <si>
    <t>95               0,0</t>
  </si>
  <si>
    <t>15               0,0</t>
  </si>
  <si>
    <t>%   l/min</t>
  </si>
  <si>
    <t>KW</t>
  </si>
  <si>
    <t>Rückkühlung</t>
  </si>
  <si>
    <t>Solar Prio HK  ( 0 = Aus )</t>
  </si>
  <si>
    <t>Solar Prio WW  ( 0 = Aus )</t>
  </si>
  <si>
    <t>P1   T1/ T2   T3/ T4</t>
  </si>
  <si>
    <t>Wärmeerzeuger &gt; WCM-SOL &gt; Solarerträge &gt; Monat</t>
  </si>
  <si>
    <t>Wärmeerzeuger &gt; WCM-SOL &gt; Solarerträge &gt; Tag</t>
  </si>
  <si>
    <t>Diag</t>
  </si>
  <si>
    <t>Heizkreise &gt; HK1 &gt; Prozesswerte</t>
  </si>
  <si>
    <t>Gemischte Außentemperatur</t>
  </si>
  <si>
    <t>Raumtemperatur</t>
  </si>
  <si>
    <t>Zirkulationstemperatur</t>
  </si>
  <si>
    <t>Soll Temp</t>
  </si>
  <si>
    <t>Soll Temp System</t>
  </si>
  <si>
    <t>N/V</t>
  </si>
  <si>
    <t>Heizkreise &gt; HK1 &gt; Benutzer</t>
  </si>
  <si>
    <t>Betriebsart HK</t>
  </si>
  <si>
    <t>Normal-Raumtemp</t>
  </si>
  <si>
    <t>Absenk-Raumtemp</t>
  </si>
  <si>
    <t>Akzeptanz Raum ( 0 = Aus )</t>
  </si>
  <si>
    <t>Normal VL Soll</t>
  </si>
  <si>
    <t>Absenk VL Soll</t>
  </si>
  <si>
    <t>Steilheit</t>
  </si>
  <si>
    <t>Raumfrosttemp</t>
  </si>
  <si>
    <t>So/Wi Umschalttemperatur</t>
  </si>
  <si>
    <t>Betriebsart WW</t>
  </si>
  <si>
    <t>Normal WW Soll</t>
  </si>
  <si>
    <t>Absenk WW Soll</t>
  </si>
  <si>
    <t>Akzeptanz WW ( 0 = Aus )</t>
  </si>
  <si>
    <t>Vorverlegung</t>
  </si>
  <si>
    <t>Programm 1</t>
  </si>
  <si>
    <t>Heizkreise &gt; HK1 &gt; Datum &amp; Uhrzeit</t>
  </si>
  <si>
    <t>Heizkreise &gt; HK1 &gt; Fachmann</t>
  </si>
  <si>
    <t>Urlaub Anfang</t>
  </si>
  <si>
    <t>Urlaub Ende</t>
  </si>
  <si>
    <t>Urlaubstemperaturniveau</t>
  </si>
  <si>
    <t>Datum</t>
  </si>
  <si>
    <t>Uhrzeit</t>
  </si>
  <si>
    <t>Sommerzeit Start</t>
  </si>
  <si>
    <t>Sommerzeit Ende</t>
  </si>
  <si>
    <t>00.01.2000</t>
  </si>
  <si>
    <t>Frostschutztemp</t>
  </si>
  <si>
    <t>25.03.</t>
  </si>
  <si>
    <t>30.10.</t>
  </si>
  <si>
    <t>Reduziertbetrieb</t>
  </si>
  <si>
    <t>Frostheizgrenze</t>
  </si>
  <si>
    <t>Ein Opti Max</t>
  </si>
  <si>
    <t>Ein Opti Ist</t>
  </si>
  <si>
    <t>Raumthermostat</t>
  </si>
  <si>
    <t>Max. WW Ladezeit</t>
  </si>
  <si>
    <t>Zusätzlicher Name</t>
  </si>
  <si>
    <t>Absenk</t>
  </si>
  <si>
    <t>Kesselkreis</t>
  </si>
  <si>
    <t>Heizkreise &gt; HK1 &gt; Konfiguration</t>
  </si>
  <si>
    <t>Spannung</t>
  </si>
  <si>
    <t>HK-Typ</t>
  </si>
  <si>
    <t>Regelvariante</t>
  </si>
  <si>
    <t>Externer Raumfühler</t>
  </si>
  <si>
    <t>Version FS</t>
  </si>
  <si>
    <t>Version EM</t>
  </si>
  <si>
    <t>327.26</t>
  </si>
  <si>
    <t>342.40</t>
  </si>
  <si>
    <t>??</t>
  </si>
  <si>
    <t>Heizkreise &gt; HK1 &gt; Zeitprogramme</t>
  </si>
  <si>
    <t>Tabelle</t>
  </si>
  <si>
    <t>Heizkreise &gt; HK2 &gt; Prozesswerte</t>
  </si>
  <si>
    <t>Heizkreise &gt; HK2 &gt; Benutzer</t>
  </si>
  <si>
    <t>Heizkreise &gt; HK2 &gt; Datum &amp; Uhrzeit</t>
  </si>
  <si>
    <t>Heizkreise &gt; HK2 &gt; Fachmann</t>
  </si>
  <si>
    <t>Heizkreise &gt; HK2 &gt; Konfiguration</t>
  </si>
  <si>
    <t>Heizkreise &gt; HK2 &gt; Zeitprogramme</t>
  </si>
  <si>
    <t>WW-Programm</t>
  </si>
  <si>
    <t>Frostschutztemp.</t>
  </si>
  <si>
    <t>Fußbodenkreis</t>
  </si>
  <si>
    <t>stufig</t>
  </si>
  <si>
    <t>Auto aus</t>
  </si>
  <si>
    <t>Fußbodenheizung</t>
  </si>
  <si>
    <t>Witterungsführung</t>
  </si>
  <si>
    <t>Im Kessel</t>
  </si>
  <si>
    <t>372.3</t>
  </si>
  <si>
    <t>Heizkreise &gt; HK3 &gt; Prozesswerte</t>
  </si>
  <si>
    <t>Heizkreise &gt; HK3 &gt; Benutzer</t>
  </si>
  <si>
    <t>Heizkreise &gt; HK3 &gt; Datum &amp; Uhrzeit</t>
  </si>
  <si>
    <t>Heizkreise &gt; HK3 &gt; Fachmann</t>
  </si>
  <si>
    <t>Heizkreise &gt; HK3 &gt; Konfiguration</t>
  </si>
  <si>
    <t>Heizkreise &gt; HK3 &gt; Zeitprogramme</t>
  </si>
  <si>
    <t>Kollektorkreis</t>
  </si>
  <si>
    <t>Konverter</t>
  </si>
  <si>
    <t xml:space="preserve">    ff08502203740c00 / 020a00</t>
  </si>
  <si>
    <t xml:space="preserve">    ff08502203280d00 / 02fe01</t>
  </si>
  <si>
    <t xml:space="preserve">    ff08502203945100 / 020000</t>
  </si>
  <si>
    <t xml:space="preserve">    ff08502203ddda05 / 020000</t>
  </si>
  <si>
    <t xml:space="preserve">    ff08502203705200 / 020000</t>
  </si>
  <si>
    <t xml:space="preserve">    ff085022032c5300 / 020000</t>
  </si>
  <si>
    <t xml:space="preserve">    ff08502203857501 / 020000</t>
  </si>
  <si>
    <t xml:space="preserve">    ff08502203d85010 / 020000</t>
  </si>
  <si>
    <t xml:space="preserve">    ff085022037e0c0a / 021000</t>
  </si>
  <si>
    <t xml:space="preserve">    ff08502203b80200 / 025000</t>
  </si>
  <si>
    <t xml:space="preserve">    ff08502203941d0c / 02d601</t>
  </si>
  <si>
    <t xml:space="preserve">    ff08502203094501 / 028601</t>
  </si>
  <si>
    <t xml:space="preserve">    ff08502203cc0e00 / 023002</t>
  </si>
  <si>
    <t xml:space="preserve">    ff08502203607600 / 0270fe</t>
  </si>
  <si>
    <t xml:space="preserve">    ff085022038c7c0c / 02da00</t>
  </si>
  <si>
    <t xml:space="preserve">    ff08502203d07d0c / 021100</t>
  </si>
  <si>
    <t xml:space="preserve">    ff08502203347e0c / 02ad01</t>
  </si>
  <si>
    <t xml:space="preserve">    ff08502203687f0c / 020600</t>
  </si>
  <si>
    <t xml:space="preserve">    ff085022030abc02 / 022500</t>
  </si>
  <si>
    <t xml:space="preserve">    ff0850220336d00e / 020a00</t>
  </si>
  <si>
    <t>D2B 
vertauscht 
Test</t>
  </si>
  <si>
    <t>D2C 
vertauscht 
Test</t>
  </si>
  <si>
    <t>Anmerkungen</t>
  </si>
  <si>
    <t>in Abfrage ein Telegramm weniger als Website</t>
  </si>
  <si>
    <t xml:space="preserve">    fff65022035af102 / 020800</t>
  </si>
  <si>
    <t xml:space="preserve">    fff6502203607600 / 02c701</t>
  </si>
  <si>
    <t xml:space="preserve">    fff6502203ac7800 / 025001</t>
  </si>
  <si>
    <t xml:space="preserve">    fff650220332290a / 026700</t>
  </si>
  <si>
    <t xml:space="preserve">    fff6502203d62a0a / 021f01</t>
  </si>
  <si>
    <t xml:space="preserve">    fff65022038a2b0a / 02cf00</t>
  </si>
  <si>
    <t xml:space="preserve">    fff6502203422c0a / 02d100</t>
  </si>
  <si>
    <t xml:space="preserve">    fff6502203488200 / 020000</t>
  </si>
  <si>
    <t xml:space="preserve">    fff650220385db01 / 020000</t>
  </si>
  <si>
    <t xml:space="preserve">    fff6502203388700 / 028f03</t>
  </si>
  <si>
    <t xml:space="preserve">    fff6502203a88800 / 020a02</t>
  </si>
  <si>
    <t xml:space="preserve">    fff6502203f48900 / 021600</t>
  </si>
  <si>
    <t xml:space="preserve">    fff6502203aa8106 / 020b00</t>
  </si>
  <si>
    <t xml:space="preserve">    fff6502203f68006 / 020600</t>
  </si>
  <si>
    <t xml:space="preserve">    fff6502203627f06 / 020f00</t>
  </si>
  <si>
    <t xml:space="preserve">    fff65022032f8e13 / 026060</t>
  </si>
  <si>
    <t xml:space="preserve">    fff65022032af402 / 02000c</t>
  </si>
  <si>
    <t xml:space="preserve">    fff6502203867c06 / 028f03</t>
  </si>
  <si>
    <t xml:space="preserve">    ff355022035a1a0a / 021300</t>
  </si>
  <si>
    <t xml:space="preserve">    ff35502203ec1100 / 0218fc</t>
  </si>
  <si>
    <t xml:space="preserve">    ff50502203900f00 / 020080</t>
  </si>
  <si>
    <t xml:space="preserve">    ff50502203cc0e00 / 023002</t>
  </si>
  <si>
    <t xml:space="preserve">    ff50502203b4e904 / 020080</t>
  </si>
  <si>
    <t xml:space="preserve">    ff355022032c0400 / 020000</t>
  </si>
  <si>
    <t xml:space="preserve">    ff35502203b80200 / 020000</t>
  </si>
  <si>
    <t xml:space="preserve">    ff755022035a1a0a / 021200</t>
  </si>
  <si>
    <t xml:space="preserve">    ff75502203ec1100 / 020080</t>
  </si>
  <si>
    <t xml:space="preserve">    ff51502203900f00 / 029401</t>
  </si>
  <si>
    <t xml:space="preserve">    ff51502203cc0e00 / 0218fc</t>
  </si>
  <si>
    <t xml:space="preserve">    ff51502203b4e904 / 0218fc</t>
  </si>
  <si>
    <t xml:space="preserve">    ff755022032c0400 / 029d01</t>
  </si>
  <si>
    <t xml:space="preserve">    ff75502203b80200 / 02b101</t>
  </si>
  <si>
    <t xml:space="preserve">    fff55022035a1a0a / 021300</t>
  </si>
  <si>
    <t xml:space="preserve">    fff5502203ec1100 / 020080</t>
  </si>
  <si>
    <t xml:space="preserve">    ff52502203900f00 / 02a001</t>
  </si>
  <si>
    <t xml:space="preserve">    ff52502203cc0e00 / 0218fc</t>
  </si>
  <si>
    <t xml:space="preserve">    ff52502203b4e904 / 0218fc</t>
  </si>
  <si>
    <t xml:space="preserve">    fff55022032c0400 / 02ae01</t>
  </si>
  <si>
    <t xml:space="preserve">    fff5502203b80200 / 02c201</t>
  </si>
  <si>
    <r>
      <t xml:space="preserve">    ff08</t>
    </r>
    <r>
      <rPr>
        <b/>
        <sz val="11"/>
        <color rgb="FFFF0000"/>
        <rFont val="Calibri"/>
        <family val="2"/>
        <scheme val="minor"/>
      </rPr>
      <t>5022</t>
    </r>
    <r>
      <rPr>
        <b/>
        <sz val="11"/>
        <color theme="4"/>
        <rFont val="Calibri"/>
        <family val="2"/>
        <scheme val="minor"/>
      </rPr>
      <t>03b80200</t>
    </r>
    <r>
      <rPr>
        <sz val="11"/>
        <color theme="1"/>
        <rFont val="Calibri"/>
        <family val="2"/>
        <scheme val="minor"/>
      </rPr>
      <t xml:space="preserve"> / 02ea01</t>
    </r>
  </si>
  <si>
    <t>Außen, gleiches Telegramm wie oben</t>
  </si>
  <si>
    <t>WW=TPO</t>
  </si>
  <si>
    <t>Zuordnung unklar</t>
  </si>
  <si>
    <t>doppelt s. oben</t>
  </si>
  <si>
    <t>Wert nicht erforderlich</t>
  </si>
  <si>
    <t>doppelt s. oben, gedämpft=gemischt</t>
  </si>
  <si>
    <t>Telegramme nicht in Reihenfolge der Abfrage!</t>
  </si>
  <si>
    <t>Zuordnung unklar; Wert direkt aus LSB?</t>
  </si>
  <si>
    <t>richtiges Telegramm</t>
  </si>
  <si>
    <t>Wert=ok</t>
  </si>
  <si>
    <t>HEX-Request
PB=50, SB=22, 
NN=03req, NN=02data</t>
  </si>
  <si>
    <t>LSB
data</t>
  </si>
  <si>
    <t>HSB
data</t>
  </si>
  <si>
    <t>Faktor 100?</t>
  </si>
  <si>
    <t>Berechnung muß noch nicht stimmen, Vorzeichen korrekt beachtet=??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</si>
</sst>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3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vertical="center"/>
    </xf>
    <xf numFmtId="0" fontId="0" fillId="0" borderId="0" xfId="0" quotePrefix="1" applyAlignment="1">
      <alignment horizontal="right"/>
    </xf>
    <xf numFmtId="164" fontId="0" fillId="0" borderId="0" xfId="0" applyNumberFormat="1" applyAlignment="1">
      <alignment horizontal="right"/>
    </xf>
    <xf numFmtId="0" fontId="2" fillId="3" borderId="0" xfId="0" applyFont="1" applyFill="1" applyAlignment="1">
      <alignment horizontal="right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right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right"/>
    </xf>
    <xf numFmtId="14" fontId="0" fillId="4" borderId="0" xfId="0" applyNumberFormat="1" applyFill="1" applyAlignment="1">
      <alignment horizontal="right"/>
    </xf>
    <xf numFmtId="20" fontId="0" fillId="4" borderId="0" xfId="0" applyNumberFormat="1" applyFill="1" applyAlignment="1">
      <alignment horizontal="right"/>
    </xf>
    <xf numFmtId="0" fontId="4" fillId="4" borderId="0" xfId="0" applyFont="1" applyFill="1" applyAlignment="1">
      <alignment horizontal="right"/>
    </xf>
    <xf numFmtId="0" fontId="3" fillId="2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4" fontId="0" fillId="7" borderId="0" xfId="0" applyNumberFormat="1" applyFill="1" applyAlignment="1">
      <alignment horizontal="center"/>
    </xf>
    <xf numFmtId="4" fontId="0" fillId="4" borderId="0" xfId="0" applyNumberFormat="1" applyFill="1" applyAlignment="1">
      <alignment horizontal="center"/>
    </xf>
    <xf numFmtId="4" fontId="0" fillId="0" borderId="0" xfId="0" applyNumberFormat="1" applyFill="1" applyAlignment="1">
      <alignment horizontal="center"/>
    </xf>
    <xf numFmtId="4" fontId="0" fillId="5" borderId="0" xfId="0" applyNumberFormat="1" applyFill="1" applyAlignment="1">
      <alignment horizontal="center"/>
    </xf>
    <xf numFmtId="0" fontId="1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0" fillId="9" borderId="0" xfId="0" applyFill="1"/>
    <xf numFmtId="0" fontId="0" fillId="8" borderId="0" xfId="0" applyFill="1"/>
    <xf numFmtId="0" fontId="0" fillId="5" borderId="0" xfId="0" applyFill="1"/>
    <xf numFmtId="0" fontId="0" fillId="0" borderId="0" xfId="0" applyFill="1"/>
    <xf numFmtId="0" fontId="1" fillId="0" borderId="3" xfId="0" applyFont="1" applyBorder="1"/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abelle1"/>
  <dimension ref="A1:L229"/>
  <sheetViews>
    <sheetView tabSelected="1" zoomScaleNormal="100" workbookViewId="0">
      <pane ySplit="1" topLeftCell="A23" activePane="bottomLeft" state="frozen"/>
      <selection pane="bottomLeft" activeCell="G88" sqref="G88"/>
    </sheetView>
  </sheetViews>
  <sheetFormatPr baseColWidth="10" defaultRowHeight="15" x14ac:dyDescent="0.25"/>
  <cols>
    <col min="1" max="1" width="40" style="1" customWidth="1"/>
    <col min="2" max="2" width="28.42578125" bestFit="1" customWidth="1"/>
    <col min="3" max="3" width="19" style="3" bestFit="1" customWidth="1"/>
    <col min="4" max="4" width="9.28515625" style="2" bestFit="1" customWidth="1"/>
    <col min="5" max="5" width="27.7109375" bestFit="1" customWidth="1"/>
    <col min="6" max="7" width="7.7109375" style="24" customWidth="1"/>
    <col min="8" max="11" width="12.7109375" customWidth="1"/>
    <col min="12" max="12" width="45.28515625" bestFit="1" customWidth="1"/>
  </cols>
  <sheetData>
    <row r="1" spans="1:12" s="5" customFormat="1" ht="58.5" customHeight="1" thickBot="1" x14ac:dyDescent="0.3">
      <c r="A1" s="4" t="s">
        <v>0</v>
      </c>
      <c r="B1" s="5" t="s">
        <v>2</v>
      </c>
      <c r="C1" s="6" t="s">
        <v>3</v>
      </c>
      <c r="D1" s="5" t="s">
        <v>5</v>
      </c>
      <c r="E1" s="18" t="s">
        <v>257</v>
      </c>
      <c r="F1" s="18" t="s">
        <v>258</v>
      </c>
      <c r="G1" s="18" t="s">
        <v>259</v>
      </c>
      <c r="H1" s="5" t="s">
        <v>9</v>
      </c>
      <c r="I1" s="19" t="s">
        <v>203</v>
      </c>
      <c r="J1" s="5" t="s">
        <v>10</v>
      </c>
      <c r="K1" s="19" t="s">
        <v>204</v>
      </c>
      <c r="L1" s="5" t="s">
        <v>205</v>
      </c>
    </row>
    <row r="2" spans="1:12" x14ac:dyDescent="0.25">
      <c r="A2" s="1" t="s">
        <v>1</v>
      </c>
      <c r="B2" s="11" t="s">
        <v>4</v>
      </c>
      <c r="C2" s="3">
        <v>49</v>
      </c>
      <c r="D2" s="2" t="s">
        <v>6</v>
      </c>
      <c r="E2" s="27" t="s">
        <v>246</v>
      </c>
      <c r="F2" s="24" t="str">
        <f t="shared" ref="F2:F11" si="0">MID(E2,26,2)</f>
        <v>ea</v>
      </c>
      <c r="G2" s="24" t="str">
        <f t="shared" ref="G2:G3" si="1">MID(E2,28,2)</f>
        <v>01</v>
      </c>
      <c r="H2" s="20">
        <f>(HEX2DEC(F2)+HEX2DEC(G2)*256)/10</f>
        <v>49</v>
      </c>
      <c r="I2" s="21">
        <f>(HEX2DEC(G2)+HEX2DEC(F2)*256)/10</f>
        <v>5990.5</v>
      </c>
      <c r="J2" s="21">
        <f>(HEX2DEC(F2)+HEX2DEC(G2)*16)/10</f>
        <v>25</v>
      </c>
      <c r="K2" s="21">
        <f>(HEX2DEC(G2)+HEX2DEC(F2)*16)/10</f>
        <v>374.5</v>
      </c>
    </row>
    <row r="3" spans="1:12" x14ac:dyDescent="0.25">
      <c r="B3" t="s">
        <v>7</v>
      </c>
      <c r="C3" s="3">
        <v>51</v>
      </c>
      <c r="D3" s="2" t="s">
        <v>6</v>
      </c>
      <c r="E3" s="27" t="s">
        <v>184</v>
      </c>
      <c r="F3" s="24" t="str">
        <f t="shared" si="0"/>
        <v>fe</v>
      </c>
      <c r="G3" s="24" t="str">
        <f t="shared" si="1"/>
        <v>01</v>
      </c>
      <c r="H3" s="20">
        <f>(HEX2DEC(F3)+HEX2DEC(G3)*256)/10</f>
        <v>51</v>
      </c>
      <c r="I3" s="21">
        <f t="shared" ref="I3:I4" si="2">(HEX2DEC(G3)+HEX2DEC(F3)*256)/10</f>
        <v>6502.5</v>
      </c>
      <c r="J3" s="21">
        <f t="shared" ref="J3:J4" si="3">(HEX2DEC(F3)+HEX2DEC(G3)*16)/10</f>
        <v>27</v>
      </c>
      <c r="K3" s="21">
        <f t="shared" ref="K3:K4" si="4">(HEX2DEC(G3)+HEX2DEC(F3)*16)/10</f>
        <v>406.5</v>
      </c>
      <c r="L3" t="s">
        <v>253</v>
      </c>
    </row>
    <row r="4" spans="1:12" x14ac:dyDescent="0.25">
      <c r="B4" t="s">
        <v>8</v>
      </c>
      <c r="C4" s="3">
        <v>1</v>
      </c>
      <c r="D4" s="2" t="s">
        <v>6</v>
      </c>
      <c r="E4" s="27" t="s">
        <v>183</v>
      </c>
      <c r="F4" s="24" t="str">
        <f t="shared" si="0"/>
        <v>0a</v>
      </c>
      <c r="G4" s="24" t="str">
        <f t="shared" ref="G4:G11" si="5">MID(E4,28,2)</f>
        <v>00</v>
      </c>
      <c r="H4" s="20">
        <f>(HEX2DEC(F4)+HEX2DEC(G4)*256)/10</f>
        <v>1</v>
      </c>
      <c r="I4" s="21">
        <f t="shared" si="2"/>
        <v>256</v>
      </c>
      <c r="J4" s="21">
        <f t="shared" si="3"/>
        <v>1</v>
      </c>
      <c r="K4" s="21">
        <f t="shared" si="4"/>
        <v>16</v>
      </c>
      <c r="L4" t="s">
        <v>253</v>
      </c>
    </row>
    <row r="6" spans="1:12" x14ac:dyDescent="0.25">
      <c r="A6" s="1" t="s">
        <v>11</v>
      </c>
      <c r="B6" s="11" t="s">
        <v>12</v>
      </c>
      <c r="C6" s="3">
        <v>0</v>
      </c>
      <c r="D6" s="2" t="s">
        <v>33</v>
      </c>
      <c r="E6" t="s">
        <v>185</v>
      </c>
      <c r="F6" s="24" t="str">
        <f t="shared" si="0"/>
        <v>00</v>
      </c>
      <c r="G6" s="24" t="str">
        <f t="shared" si="5"/>
        <v>00</v>
      </c>
      <c r="H6" s="22">
        <f t="shared" ref="H6:H12" si="6">(HEX2DEC(F6)+HEX2DEC(G6)*256)/10</f>
        <v>0</v>
      </c>
      <c r="I6" s="22">
        <f t="shared" ref="I6:I12" si="7">(HEX2DEC(G6)+HEX2DEC(F6)*256)/10</f>
        <v>0</v>
      </c>
      <c r="J6" s="21">
        <f t="shared" ref="J6:J12" si="8">(HEX2DEC(F6)+HEX2DEC(G6)*16)/10</f>
        <v>0</v>
      </c>
      <c r="K6" s="21">
        <f t="shared" ref="K6:K12" si="9">(HEX2DEC(G6)+HEX2DEC(F6)*16)/10</f>
        <v>0</v>
      </c>
      <c r="L6" t="s">
        <v>254</v>
      </c>
    </row>
    <row r="7" spans="1:12" x14ac:dyDescent="0.25">
      <c r="B7" s="11" t="s">
        <v>13</v>
      </c>
      <c r="C7" s="3">
        <v>0</v>
      </c>
      <c r="D7" s="2" t="s">
        <v>33</v>
      </c>
      <c r="E7" t="s">
        <v>186</v>
      </c>
      <c r="F7" s="24" t="str">
        <f t="shared" si="0"/>
        <v>00</v>
      </c>
      <c r="G7" s="24" t="str">
        <f t="shared" si="5"/>
        <v>00</v>
      </c>
      <c r="H7" s="22">
        <f t="shared" si="6"/>
        <v>0</v>
      </c>
      <c r="I7" s="22">
        <f t="shared" si="7"/>
        <v>0</v>
      </c>
      <c r="J7" s="21">
        <f t="shared" si="8"/>
        <v>0</v>
      </c>
      <c r="K7" s="21">
        <f t="shared" si="9"/>
        <v>0</v>
      </c>
      <c r="L7" t="s">
        <v>254</v>
      </c>
    </row>
    <row r="8" spans="1:12" x14ac:dyDescent="0.25">
      <c r="B8" s="11" t="s">
        <v>14</v>
      </c>
      <c r="C8" s="3">
        <v>0</v>
      </c>
      <c r="D8" s="2" t="s">
        <v>33</v>
      </c>
      <c r="E8" t="s">
        <v>187</v>
      </c>
      <c r="F8" s="24" t="str">
        <f t="shared" si="0"/>
        <v>00</v>
      </c>
      <c r="G8" s="24" t="str">
        <f t="shared" si="5"/>
        <v>00</v>
      </c>
      <c r="H8" s="22">
        <f t="shared" si="6"/>
        <v>0</v>
      </c>
      <c r="I8" s="22">
        <f t="shared" si="7"/>
        <v>0</v>
      </c>
      <c r="J8" s="21">
        <f t="shared" si="8"/>
        <v>0</v>
      </c>
      <c r="K8" s="21">
        <f t="shared" si="9"/>
        <v>0</v>
      </c>
      <c r="L8" t="s">
        <v>254</v>
      </c>
    </row>
    <row r="9" spans="1:12" x14ac:dyDescent="0.25">
      <c r="B9" t="s">
        <v>15</v>
      </c>
      <c r="C9" s="3">
        <v>0</v>
      </c>
      <c r="D9" s="2" t="s">
        <v>33</v>
      </c>
      <c r="E9" t="s">
        <v>188</v>
      </c>
      <c r="F9" s="24" t="str">
        <f t="shared" si="0"/>
        <v>00</v>
      </c>
      <c r="G9" s="24" t="str">
        <f t="shared" si="5"/>
        <v>00</v>
      </c>
      <c r="H9" s="22">
        <f t="shared" si="6"/>
        <v>0</v>
      </c>
      <c r="I9" s="22">
        <f t="shared" si="7"/>
        <v>0</v>
      </c>
      <c r="J9" s="21">
        <f t="shared" si="8"/>
        <v>0</v>
      </c>
      <c r="K9" s="21">
        <f t="shared" si="9"/>
        <v>0</v>
      </c>
      <c r="L9" t="s">
        <v>254</v>
      </c>
    </row>
    <row r="10" spans="1:12" x14ac:dyDescent="0.25">
      <c r="B10" t="s">
        <v>16</v>
      </c>
      <c r="C10" s="3">
        <v>0</v>
      </c>
      <c r="D10" s="2" t="s">
        <v>33</v>
      </c>
      <c r="E10" t="s">
        <v>189</v>
      </c>
      <c r="F10" s="24" t="str">
        <f t="shared" si="0"/>
        <v>00</v>
      </c>
      <c r="G10" s="24" t="str">
        <f t="shared" si="5"/>
        <v>00</v>
      </c>
      <c r="H10" s="22">
        <f t="shared" si="6"/>
        <v>0</v>
      </c>
      <c r="I10" s="22">
        <f t="shared" si="7"/>
        <v>0</v>
      </c>
      <c r="J10" s="21">
        <f t="shared" si="8"/>
        <v>0</v>
      </c>
      <c r="K10" s="21">
        <f t="shared" si="9"/>
        <v>0</v>
      </c>
      <c r="L10" t="s">
        <v>254</v>
      </c>
    </row>
    <row r="11" spans="1:12" x14ac:dyDescent="0.25">
      <c r="B11" t="s">
        <v>17</v>
      </c>
      <c r="C11" s="3">
        <v>0</v>
      </c>
      <c r="D11" s="2" t="s">
        <v>32</v>
      </c>
      <c r="E11" t="s">
        <v>190</v>
      </c>
      <c r="F11" s="24" t="str">
        <f t="shared" si="0"/>
        <v>00</v>
      </c>
      <c r="G11" s="24" t="str">
        <f t="shared" si="5"/>
        <v>00</v>
      </c>
      <c r="H11" s="22">
        <f t="shared" si="6"/>
        <v>0</v>
      </c>
      <c r="I11" s="22">
        <f t="shared" si="7"/>
        <v>0</v>
      </c>
      <c r="J11" s="21">
        <f t="shared" si="8"/>
        <v>0</v>
      </c>
      <c r="K11" s="21">
        <f t="shared" si="9"/>
        <v>0</v>
      </c>
      <c r="L11" t="s">
        <v>254</v>
      </c>
    </row>
    <row r="12" spans="1:12" x14ac:dyDescent="0.25">
      <c r="B12" t="s">
        <v>34</v>
      </c>
      <c r="C12" s="3">
        <v>0</v>
      </c>
      <c r="D12" s="2" t="s">
        <v>32</v>
      </c>
      <c r="E12" t="s">
        <v>191</v>
      </c>
      <c r="F12" s="24" t="str">
        <f t="shared" ref="F12:F20" si="10">MID(E12,26,2)</f>
        <v>10</v>
      </c>
      <c r="G12" s="24" t="str">
        <f t="shared" ref="G12:G20" si="11">MID(E12,28,2)</f>
        <v>00</v>
      </c>
      <c r="H12" s="22">
        <f t="shared" si="6"/>
        <v>1.6</v>
      </c>
      <c r="I12" s="22">
        <f t="shared" si="7"/>
        <v>409.6</v>
      </c>
      <c r="J12" s="21">
        <f t="shared" si="8"/>
        <v>1.6</v>
      </c>
      <c r="K12" s="21">
        <f t="shared" si="9"/>
        <v>25.6</v>
      </c>
      <c r="L12" t="s">
        <v>254</v>
      </c>
    </row>
    <row r="13" spans="1:12" x14ac:dyDescent="0.25">
      <c r="B13" t="s">
        <v>18</v>
      </c>
      <c r="C13" s="3">
        <v>0</v>
      </c>
      <c r="D13" s="2" t="s">
        <v>32</v>
      </c>
      <c r="E13" t="s">
        <v>198</v>
      </c>
      <c r="F13" s="24" t="str">
        <f t="shared" si="10"/>
        <v>11</v>
      </c>
      <c r="G13" s="24" t="str">
        <f t="shared" si="11"/>
        <v>00</v>
      </c>
      <c r="H13" s="22">
        <f t="shared" ref="H13:H20" si="12">(HEX2DEC(F13)+HEX2DEC(G13)*256)/10</f>
        <v>1.7</v>
      </c>
      <c r="I13" s="22">
        <f t="shared" ref="I13:I20" si="13">(HEX2DEC(G13)+HEX2DEC(F13)*256)/10</f>
        <v>435.2</v>
      </c>
      <c r="J13" s="21">
        <f t="shared" ref="J13:J20" si="14">(HEX2DEC(F13)+HEX2DEC(G13)*16)/10</f>
        <v>1.7</v>
      </c>
      <c r="K13" s="21">
        <f t="shared" ref="K13:K20" si="15">(HEX2DEC(G13)+HEX2DEC(F13)*16)/10</f>
        <v>27.2</v>
      </c>
      <c r="L13" t="s">
        <v>253</v>
      </c>
    </row>
    <row r="14" spans="1:12" x14ac:dyDescent="0.25">
      <c r="B14" t="s">
        <v>19</v>
      </c>
      <c r="C14" s="3">
        <v>0</v>
      </c>
      <c r="D14" s="2" t="s">
        <v>31</v>
      </c>
      <c r="E14" t="s">
        <v>196</v>
      </c>
      <c r="F14" s="24" t="str">
        <f t="shared" si="10"/>
        <v>70</v>
      </c>
      <c r="G14" s="24" t="str">
        <f t="shared" si="11"/>
        <v>fe</v>
      </c>
      <c r="H14" s="22">
        <f t="shared" si="12"/>
        <v>6513.6</v>
      </c>
      <c r="I14" s="22">
        <f t="shared" si="13"/>
        <v>2892.6</v>
      </c>
      <c r="J14" s="21">
        <f t="shared" si="14"/>
        <v>417.6</v>
      </c>
      <c r="K14" s="21">
        <f t="shared" si="15"/>
        <v>204.6</v>
      </c>
      <c r="L14" t="s">
        <v>253</v>
      </c>
    </row>
    <row r="15" spans="1:12" x14ac:dyDescent="0.25">
      <c r="B15" t="s">
        <v>20</v>
      </c>
      <c r="C15" s="3">
        <v>2</v>
      </c>
      <c r="D15" s="2" t="s">
        <v>6</v>
      </c>
      <c r="E15" t="s">
        <v>197</v>
      </c>
      <c r="F15" s="24" t="str">
        <f t="shared" si="10"/>
        <v>da</v>
      </c>
      <c r="G15" s="24" t="str">
        <f t="shared" si="11"/>
        <v>00</v>
      </c>
      <c r="H15" s="22">
        <f t="shared" si="12"/>
        <v>21.8</v>
      </c>
      <c r="I15" s="22">
        <f t="shared" si="13"/>
        <v>5580.8</v>
      </c>
      <c r="J15" s="21">
        <f t="shared" si="14"/>
        <v>21.8</v>
      </c>
      <c r="K15" s="21">
        <f t="shared" si="15"/>
        <v>348.8</v>
      </c>
      <c r="L15" t="s">
        <v>253</v>
      </c>
    </row>
    <row r="16" spans="1:12" x14ac:dyDescent="0.25">
      <c r="B16" s="11" t="s">
        <v>4</v>
      </c>
      <c r="C16" s="3">
        <v>8</v>
      </c>
      <c r="D16" s="2" t="s">
        <v>6</v>
      </c>
      <c r="E16" s="27" t="s">
        <v>192</v>
      </c>
      <c r="F16" s="24" t="str">
        <f t="shared" si="10"/>
        <v>50</v>
      </c>
      <c r="G16" s="24" t="str">
        <f t="shared" si="11"/>
        <v>00</v>
      </c>
      <c r="H16" s="20">
        <f t="shared" si="12"/>
        <v>8</v>
      </c>
      <c r="I16" s="21">
        <f t="shared" si="13"/>
        <v>2048</v>
      </c>
      <c r="J16" s="21">
        <f t="shared" si="14"/>
        <v>8</v>
      </c>
      <c r="K16" s="21">
        <f t="shared" si="15"/>
        <v>128</v>
      </c>
      <c r="L16" t="s">
        <v>253</v>
      </c>
    </row>
    <row r="17" spans="1:12" x14ac:dyDescent="0.25">
      <c r="B17" t="s">
        <v>21</v>
      </c>
      <c r="C17" s="3">
        <v>47</v>
      </c>
      <c r="D17" s="2" t="s">
        <v>6</v>
      </c>
      <c r="E17" s="27" t="s">
        <v>193</v>
      </c>
      <c r="F17" s="24" t="str">
        <f t="shared" si="10"/>
        <v>d6</v>
      </c>
      <c r="G17" s="24" t="str">
        <f t="shared" si="11"/>
        <v>01</v>
      </c>
      <c r="H17" s="20">
        <f t="shared" si="12"/>
        <v>47</v>
      </c>
      <c r="I17" s="21">
        <f t="shared" si="13"/>
        <v>5478.5</v>
      </c>
      <c r="J17" s="21">
        <f t="shared" si="14"/>
        <v>23</v>
      </c>
      <c r="K17" s="21">
        <f t="shared" si="15"/>
        <v>342.5</v>
      </c>
      <c r="L17" t="s">
        <v>253</v>
      </c>
    </row>
    <row r="18" spans="1:12" x14ac:dyDescent="0.25">
      <c r="B18" s="11" t="s">
        <v>22</v>
      </c>
      <c r="C18" s="3">
        <v>39</v>
      </c>
      <c r="D18" s="2" t="s">
        <v>6</v>
      </c>
      <c r="E18" s="27" t="s">
        <v>194</v>
      </c>
      <c r="F18" s="24" t="str">
        <f t="shared" si="10"/>
        <v>86</v>
      </c>
      <c r="G18" s="24" t="str">
        <f t="shared" si="11"/>
        <v>01</v>
      </c>
      <c r="H18" s="20">
        <f t="shared" si="12"/>
        <v>39</v>
      </c>
      <c r="I18" s="21">
        <f t="shared" si="13"/>
        <v>3430.5</v>
      </c>
      <c r="J18" s="21">
        <f t="shared" si="14"/>
        <v>15</v>
      </c>
      <c r="K18" s="21">
        <f t="shared" si="15"/>
        <v>214.5</v>
      </c>
      <c r="L18" t="s">
        <v>253</v>
      </c>
    </row>
    <row r="19" spans="1:12" x14ac:dyDescent="0.25">
      <c r="B19" s="26" t="s">
        <v>8</v>
      </c>
      <c r="C19" s="3">
        <v>1</v>
      </c>
      <c r="D19" s="2" t="s">
        <v>6</v>
      </c>
      <c r="E19" s="27" t="s">
        <v>183</v>
      </c>
      <c r="F19" s="24" t="str">
        <f t="shared" si="10"/>
        <v>0a</v>
      </c>
      <c r="G19" s="24" t="str">
        <f t="shared" si="11"/>
        <v>00</v>
      </c>
      <c r="H19" s="20">
        <f t="shared" si="12"/>
        <v>1</v>
      </c>
      <c r="I19" s="21">
        <f t="shared" si="13"/>
        <v>256</v>
      </c>
      <c r="J19" s="21">
        <f t="shared" si="14"/>
        <v>1</v>
      </c>
      <c r="K19" s="21">
        <f t="shared" si="15"/>
        <v>16</v>
      </c>
      <c r="L19" s="26" t="s">
        <v>247</v>
      </c>
    </row>
    <row r="20" spans="1:12" x14ac:dyDescent="0.25">
      <c r="B20" t="s">
        <v>23</v>
      </c>
      <c r="C20" s="3">
        <v>56</v>
      </c>
      <c r="D20" s="2" t="s">
        <v>6</v>
      </c>
      <c r="E20" s="27" t="s">
        <v>195</v>
      </c>
      <c r="F20" s="24" t="str">
        <f t="shared" si="10"/>
        <v>30</v>
      </c>
      <c r="G20" s="24" t="str">
        <f t="shared" si="11"/>
        <v>02</v>
      </c>
      <c r="H20" s="20">
        <f t="shared" si="12"/>
        <v>56</v>
      </c>
      <c r="I20" s="21">
        <f t="shared" si="13"/>
        <v>1229</v>
      </c>
      <c r="J20" s="21">
        <f t="shared" si="14"/>
        <v>8</v>
      </c>
      <c r="K20" s="21">
        <f t="shared" si="15"/>
        <v>77</v>
      </c>
      <c r="L20" t="s">
        <v>248</v>
      </c>
    </row>
    <row r="21" spans="1:12" x14ac:dyDescent="0.25">
      <c r="B21" s="11" t="s">
        <v>24</v>
      </c>
      <c r="C21" s="3" t="s">
        <v>32</v>
      </c>
      <c r="D21" s="2" t="s">
        <v>6</v>
      </c>
      <c r="F21" s="24" t="str">
        <f t="shared" ref="F21:I25" si="16">MID(E21,26,2)</f>
        <v/>
      </c>
      <c r="G21" s="24" t="str">
        <f t="shared" ref="G21:G25" si="17">MID(E21,28,2)</f>
        <v/>
      </c>
      <c r="H21" s="2" t="str">
        <f t="shared" si="16"/>
        <v/>
      </c>
      <c r="I21" s="2" t="str">
        <f t="shared" si="16"/>
        <v/>
      </c>
      <c r="L21" t="s">
        <v>206</v>
      </c>
    </row>
    <row r="22" spans="1:12" x14ac:dyDescent="0.25">
      <c r="B22" t="s">
        <v>25</v>
      </c>
      <c r="C22" s="3">
        <v>17218</v>
      </c>
      <c r="D22" s="2" t="s">
        <v>32</v>
      </c>
      <c r="E22" t="s">
        <v>199</v>
      </c>
      <c r="F22" s="24" t="str">
        <f t="shared" si="16"/>
        <v>ad</v>
      </c>
      <c r="G22" s="24" t="str">
        <f t="shared" si="17"/>
        <v>01</v>
      </c>
      <c r="H22" s="22">
        <f t="shared" ref="H22:H25" si="18">(HEX2DEC(F22)+HEX2DEC(G22)*256)/10</f>
        <v>42.9</v>
      </c>
      <c r="I22" s="22">
        <f t="shared" ref="I22:I25" si="19">(HEX2DEC(G22)+HEX2DEC(F22)*256)/10</f>
        <v>4428.8999999999996</v>
      </c>
      <c r="J22" s="21">
        <f t="shared" ref="J22:J25" si="20">(HEX2DEC(F22)+HEX2DEC(G22)*16)/10</f>
        <v>18.899999999999999</v>
      </c>
      <c r="K22" s="21">
        <f t="shared" ref="K22:K25" si="21">(HEX2DEC(G22)+HEX2DEC(F22)*16)/10</f>
        <v>276.89999999999998</v>
      </c>
    </row>
    <row r="23" spans="1:12" x14ac:dyDescent="0.25">
      <c r="B23" t="s">
        <v>26</v>
      </c>
      <c r="C23" s="7">
        <v>6429</v>
      </c>
      <c r="D23" s="2" t="s">
        <v>30</v>
      </c>
      <c r="E23" t="s">
        <v>200</v>
      </c>
      <c r="F23" s="24" t="str">
        <f t="shared" si="16"/>
        <v>06</v>
      </c>
      <c r="G23" s="24" t="str">
        <f t="shared" si="17"/>
        <v>00</v>
      </c>
      <c r="H23" s="22">
        <f t="shared" si="18"/>
        <v>0.6</v>
      </c>
      <c r="I23" s="22">
        <f t="shared" si="19"/>
        <v>153.6</v>
      </c>
      <c r="J23" s="21">
        <f t="shared" si="20"/>
        <v>0.6</v>
      </c>
      <c r="K23" s="21">
        <f t="shared" si="21"/>
        <v>9.6</v>
      </c>
    </row>
    <row r="24" spans="1:12" x14ac:dyDescent="0.25">
      <c r="B24" t="s">
        <v>27</v>
      </c>
      <c r="C24" s="3">
        <v>370</v>
      </c>
      <c r="D24" s="2" t="s">
        <v>30</v>
      </c>
      <c r="E24" s="27" t="s">
        <v>201</v>
      </c>
      <c r="F24" s="24" t="str">
        <f t="shared" si="16"/>
        <v>25</v>
      </c>
      <c r="G24" s="24" t="str">
        <f t="shared" si="17"/>
        <v>00</v>
      </c>
      <c r="H24" s="23">
        <f>(HEX2DEC(F24)+HEX2DEC(G24)*256)*10</f>
        <v>370</v>
      </c>
      <c r="I24" s="22">
        <f t="shared" si="19"/>
        <v>947.2</v>
      </c>
      <c r="J24" s="21">
        <f t="shared" si="20"/>
        <v>3.7</v>
      </c>
      <c r="K24" s="21">
        <f t="shared" si="21"/>
        <v>59.2</v>
      </c>
      <c r="L24" s="28" t="s">
        <v>260</v>
      </c>
    </row>
    <row r="25" spans="1:12" x14ac:dyDescent="0.25">
      <c r="B25" t="s">
        <v>28</v>
      </c>
      <c r="C25" s="3">
        <v>10901</v>
      </c>
      <c r="D25" s="2" t="s">
        <v>29</v>
      </c>
      <c r="E25" t="s">
        <v>202</v>
      </c>
      <c r="F25" s="24" t="str">
        <f t="shared" si="16"/>
        <v>0a</v>
      </c>
      <c r="G25" s="24" t="str">
        <f t="shared" si="17"/>
        <v>00</v>
      </c>
      <c r="H25" s="22">
        <f t="shared" si="18"/>
        <v>1</v>
      </c>
      <c r="I25" s="22">
        <f t="shared" si="19"/>
        <v>256</v>
      </c>
      <c r="J25" s="21">
        <f t="shared" si="20"/>
        <v>1</v>
      </c>
      <c r="K25" s="21">
        <f t="shared" si="21"/>
        <v>16</v>
      </c>
    </row>
    <row r="27" spans="1:12" s="11" customFormat="1" hidden="1" x14ac:dyDescent="0.25">
      <c r="A27" s="10" t="s">
        <v>35</v>
      </c>
      <c r="B27" s="11" t="s">
        <v>36</v>
      </c>
      <c r="C27" s="12" t="s">
        <v>47</v>
      </c>
      <c r="D27" s="13" t="s">
        <v>32</v>
      </c>
      <c r="F27" s="25"/>
      <c r="G27" s="25"/>
    </row>
    <row r="28" spans="1:12" s="11" customFormat="1" hidden="1" x14ac:dyDescent="0.25">
      <c r="A28" s="10"/>
      <c r="B28" s="11" t="s">
        <v>37</v>
      </c>
      <c r="C28" s="12" t="s">
        <v>48</v>
      </c>
      <c r="D28" s="13" t="s">
        <v>32</v>
      </c>
      <c r="F28" s="25"/>
      <c r="G28" s="25"/>
    </row>
    <row r="29" spans="1:12" s="11" customFormat="1" hidden="1" x14ac:dyDescent="0.25">
      <c r="A29" s="10"/>
      <c r="B29" s="11" t="s">
        <v>38</v>
      </c>
      <c r="C29" s="14">
        <v>60</v>
      </c>
      <c r="D29" s="13" t="s">
        <v>6</v>
      </c>
      <c r="F29" s="25"/>
      <c r="G29" s="25"/>
    </row>
    <row r="30" spans="1:12" s="11" customFormat="1" hidden="1" x14ac:dyDescent="0.25">
      <c r="A30" s="10"/>
      <c r="B30" s="11" t="s">
        <v>39</v>
      </c>
      <c r="C30" s="14">
        <v>0</v>
      </c>
      <c r="D30" s="13" t="s">
        <v>50</v>
      </c>
      <c r="F30" s="25"/>
      <c r="G30" s="25"/>
    </row>
    <row r="31" spans="1:12" s="11" customFormat="1" hidden="1" x14ac:dyDescent="0.25">
      <c r="A31" s="10"/>
      <c r="B31" s="11" t="s">
        <v>40</v>
      </c>
      <c r="C31" s="14">
        <v>5</v>
      </c>
      <c r="D31" s="13" t="s">
        <v>6</v>
      </c>
      <c r="F31" s="25"/>
      <c r="G31" s="25"/>
    </row>
    <row r="32" spans="1:12" s="11" customFormat="1" hidden="1" x14ac:dyDescent="0.25">
      <c r="A32" s="10"/>
      <c r="B32" s="11" t="s">
        <v>41</v>
      </c>
      <c r="C32" s="14">
        <v>8</v>
      </c>
      <c r="D32" s="13" t="s">
        <v>6</v>
      </c>
      <c r="F32" s="25"/>
      <c r="G32" s="25"/>
    </row>
    <row r="33" spans="1:12" s="11" customFormat="1" hidden="1" x14ac:dyDescent="0.25">
      <c r="A33" s="10"/>
      <c r="B33" s="11" t="s">
        <v>42</v>
      </c>
      <c r="C33" s="14">
        <v>75</v>
      </c>
      <c r="D33" s="13" t="s">
        <v>6</v>
      </c>
      <c r="F33" s="25"/>
      <c r="G33" s="25"/>
    </row>
    <row r="34" spans="1:12" s="11" customFormat="1" hidden="1" x14ac:dyDescent="0.25">
      <c r="A34" s="10"/>
      <c r="B34" s="11" t="s">
        <v>43</v>
      </c>
      <c r="C34" s="14">
        <v>6</v>
      </c>
      <c r="D34" s="13" t="s">
        <v>6</v>
      </c>
      <c r="F34" s="25"/>
      <c r="G34" s="25"/>
    </row>
    <row r="35" spans="1:12" s="11" customFormat="1" hidden="1" x14ac:dyDescent="0.25">
      <c r="A35" s="10"/>
      <c r="B35" s="11" t="s">
        <v>44</v>
      </c>
      <c r="C35" s="12">
        <v>5</v>
      </c>
      <c r="D35" s="13" t="s">
        <v>49</v>
      </c>
      <c r="F35" s="25"/>
      <c r="G35" s="25"/>
    </row>
    <row r="36" spans="1:12" s="11" customFormat="1" hidden="1" x14ac:dyDescent="0.25">
      <c r="A36" s="10"/>
      <c r="B36" s="11" t="s">
        <v>45</v>
      </c>
      <c r="C36" s="12">
        <v>21</v>
      </c>
      <c r="D36" s="13" t="s">
        <v>31</v>
      </c>
      <c r="F36" s="25"/>
      <c r="G36" s="25"/>
    </row>
    <row r="37" spans="1:12" s="11" customFormat="1" hidden="1" x14ac:dyDescent="0.25">
      <c r="A37" s="10"/>
      <c r="B37" s="11" t="s">
        <v>46</v>
      </c>
      <c r="C37" s="12">
        <v>50</v>
      </c>
      <c r="D37" s="13" t="s">
        <v>49</v>
      </c>
      <c r="F37" s="25"/>
      <c r="G37" s="25"/>
    </row>
    <row r="38" spans="1:12" hidden="1" x14ac:dyDescent="0.25"/>
    <row r="39" spans="1:12" x14ac:dyDescent="0.25">
      <c r="A39" s="1" t="s">
        <v>51</v>
      </c>
      <c r="B39" t="s">
        <v>52</v>
      </c>
      <c r="C39" s="3" t="s">
        <v>72</v>
      </c>
      <c r="D39" s="2" t="s">
        <v>32</v>
      </c>
      <c r="E39" t="s">
        <v>207</v>
      </c>
      <c r="F39" s="24" t="str">
        <f t="shared" ref="F39" si="22">MID(E39,26,2)</f>
        <v>08</v>
      </c>
      <c r="G39" s="24" t="str">
        <f t="shared" ref="G39:G56" si="23">MID(E39,28,2)</f>
        <v>00</v>
      </c>
      <c r="H39" s="22">
        <f t="shared" ref="H39:H56" si="24">(HEX2DEC(F39)+HEX2DEC(G39)*256)/10</f>
        <v>0.8</v>
      </c>
      <c r="I39" s="22">
        <f t="shared" ref="I39:I56" si="25">(HEX2DEC(G39)+HEX2DEC(F39)*256)/10</f>
        <v>204.8</v>
      </c>
      <c r="J39" s="21">
        <f t="shared" ref="J39:J56" si="26">(HEX2DEC(F39)+HEX2DEC(G39)*16)/10</f>
        <v>0.8</v>
      </c>
      <c r="K39" s="21">
        <f t="shared" ref="K39:K56" si="27">(HEX2DEC(G39)+HEX2DEC(F39)*16)/10</f>
        <v>12.8</v>
      </c>
    </row>
    <row r="40" spans="1:12" x14ac:dyDescent="0.25">
      <c r="B40" t="s">
        <v>53</v>
      </c>
      <c r="C40" s="3">
        <v>45.5</v>
      </c>
      <c r="D40" s="2" t="s">
        <v>6</v>
      </c>
      <c r="E40" s="27" t="s">
        <v>208</v>
      </c>
      <c r="F40" s="24" t="str">
        <f t="shared" ref="F40" si="28">MID(E40,26,2)</f>
        <v>c7</v>
      </c>
      <c r="G40" s="24" t="str">
        <f t="shared" si="23"/>
        <v>01</v>
      </c>
      <c r="H40" s="20">
        <f t="shared" si="24"/>
        <v>45.5</v>
      </c>
      <c r="I40" s="21">
        <f t="shared" si="25"/>
        <v>5094.5</v>
      </c>
      <c r="J40" s="21">
        <f t="shared" si="26"/>
        <v>21.5</v>
      </c>
      <c r="K40" s="21">
        <f t="shared" si="27"/>
        <v>318.5</v>
      </c>
    </row>
    <row r="41" spans="1:12" x14ac:dyDescent="0.25">
      <c r="B41" t="s">
        <v>54</v>
      </c>
      <c r="C41" s="3">
        <v>33.6</v>
      </c>
      <c r="D41" s="2" t="s">
        <v>6</v>
      </c>
      <c r="E41" s="27" t="s">
        <v>209</v>
      </c>
      <c r="F41" s="24" t="str">
        <f t="shared" ref="F41" si="29">MID(E41,26,2)</f>
        <v>50</v>
      </c>
      <c r="G41" s="24" t="str">
        <f t="shared" si="23"/>
        <v>01</v>
      </c>
      <c r="H41" s="20">
        <f t="shared" si="24"/>
        <v>33.6</v>
      </c>
      <c r="I41" s="21">
        <f t="shared" si="25"/>
        <v>2048.1</v>
      </c>
      <c r="J41" s="21">
        <f t="shared" si="26"/>
        <v>9.6</v>
      </c>
      <c r="K41" s="21">
        <f t="shared" si="27"/>
        <v>128.1</v>
      </c>
    </row>
    <row r="42" spans="1:12" x14ac:dyDescent="0.25">
      <c r="B42" t="s">
        <v>55</v>
      </c>
      <c r="C42" s="3">
        <v>10.3</v>
      </c>
      <c r="D42" s="2" t="s">
        <v>6</v>
      </c>
      <c r="E42" s="27" t="s">
        <v>210</v>
      </c>
      <c r="F42" s="24" t="str">
        <f t="shared" ref="F42" si="30">MID(E42,26,2)</f>
        <v>67</v>
      </c>
      <c r="G42" s="24" t="str">
        <f t="shared" si="23"/>
        <v>00</v>
      </c>
      <c r="H42" s="20">
        <f t="shared" si="24"/>
        <v>10.3</v>
      </c>
      <c r="I42" s="21">
        <f t="shared" si="25"/>
        <v>2636.8</v>
      </c>
      <c r="J42" s="21">
        <f t="shared" si="26"/>
        <v>10.3</v>
      </c>
      <c r="K42" s="21">
        <f t="shared" si="27"/>
        <v>164.8</v>
      </c>
    </row>
    <row r="43" spans="1:12" x14ac:dyDescent="0.25">
      <c r="B43" t="s">
        <v>57</v>
      </c>
      <c r="C43" s="3">
        <v>28.7</v>
      </c>
      <c r="D43" s="2" t="s">
        <v>6</v>
      </c>
      <c r="E43" s="27" t="s">
        <v>211</v>
      </c>
      <c r="F43" s="24" t="str">
        <f t="shared" ref="F43" si="31">MID(E43,26,2)</f>
        <v>1f</v>
      </c>
      <c r="G43" s="24" t="str">
        <f t="shared" si="23"/>
        <v>01</v>
      </c>
      <c r="H43" s="20">
        <f t="shared" si="24"/>
        <v>28.7</v>
      </c>
      <c r="I43" s="21">
        <f t="shared" si="25"/>
        <v>793.7</v>
      </c>
      <c r="J43" s="21">
        <f t="shared" si="26"/>
        <v>4.7</v>
      </c>
      <c r="K43" s="21">
        <f t="shared" si="27"/>
        <v>49.7</v>
      </c>
    </row>
    <row r="44" spans="1:12" x14ac:dyDescent="0.25">
      <c r="B44" t="s">
        <v>56</v>
      </c>
      <c r="C44" s="3">
        <v>20.7</v>
      </c>
      <c r="D44" s="2" t="s">
        <v>6</v>
      </c>
      <c r="E44" s="27" t="s">
        <v>212</v>
      </c>
      <c r="F44" s="24" t="str">
        <f t="shared" ref="F44" si="32">MID(E44,26,2)</f>
        <v>cf</v>
      </c>
      <c r="G44" s="24" t="str">
        <f t="shared" si="23"/>
        <v>00</v>
      </c>
      <c r="H44" s="20">
        <f t="shared" si="24"/>
        <v>20.7</v>
      </c>
      <c r="I44" s="21">
        <f t="shared" si="25"/>
        <v>5299.2</v>
      </c>
      <c r="J44" s="21">
        <f t="shared" si="26"/>
        <v>20.7</v>
      </c>
      <c r="K44" s="21">
        <f t="shared" si="27"/>
        <v>331.2</v>
      </c>
    </row>
    <row r="45" spans="1:12" x14ac:dyDescent="0.25">
      <c r="B45" t="s">
        <v>58</v>
      </c>
      <c r="C45" s="3">
        <v>20.9</v>
      </c>
      <c r="D45" s="2" t="s">
        <v>6</v>
      </c>
      <c r="E45" s="27" t="s">
        <v>213</v>
      </c>
      <c r="F45" s="24" t="str">
        <f t="shared" ref="F45" si="33">MID(E45,26,2)</f>
        <v>d1</v>
      </c>
      <c r="G45" s="24" t="str">
        <f t="shared" si="23"/>
        <v>00</v>
      </c>
      <c r="H45" s="20">
        <f t="shared" si="24"/>
        <v>20.9</v>
      </c>
      <c r="I45" s="21">
        <f t="shared" si="25"/>
        <v>5350.4</v>
      </c>
      <c r="J45" s="21">
        <f t="shared" si="26"/>
        <v>20.9</v>
      </c>
      <c r="K45" s="21">
        <f t="shared" si="27"/>
        <v>334.4</v>
      </c>
    </row>
    <row r="46" spans="1:12" x14ac:dyDescent="0.25">
      <c r="B46" t="s">
        <v>60</v>
      </c>
      <c r="C46" s="8">
        <v>0</v>
      </c>
      <c r="D46" s="2" t="s">
        <v>71</v>
      </c>
      <c r="E46" t="s">
        <v>214</v>
      </c>
      <c r="F46" s="24" t="str">
        <f t="shared" ref="F46" si="34">MID(E46,26,2)</f>
        <v>00</v>
      </c>
      <c r="G46" s="24" t="str">
        <f t="shared" si="23"/>
        <v>00</v>
      </c>
      <c r="H46" s="22">
        <f t="shared" si="24"/>
        <v>0</v>
      </c>
      <c r="I46" s="22">
        <f t="shared" si="25"/>
        <v>0</v>
      </c>
      <c r="J46" s="21">
        <f t="shared" si="26"/>
        <v>0</v>
      </c>
      <c r="K46" s="21">
        <f t="shared" si="27"/>
        <v>0</v>
      </c>
      <c r="L46" t="s">
        <v>249</v>
      </c>
    </row>
    <row r="47" spans="1:12" x14ac:dyDescent="0.25">
      <c r="B47" t="s">
        <v>59</v>
      </c>
      <c r="C47" s="8">
        <v>0</v>
      </c>
      <c r="D47" s="2" t="s">
        <v>31</v>
      </c>
      <c r="E47" t="s">
        <v>215</v>
      </c>
      <c r="F47" s="24" t="str">
        <f t="shared" ref="F47" si="35">MID(E47,26,2)</f>
        <v>00</v>
      </c>
      <c r="G47" s="24" t="str">
        <f t="shared" si="23"/>
        <v>00</v>
      </c>
      <c r="H47" s="22">
        <f t="shared" si="24"/>
        <v>0</v>
      </c>
      <c r="I47" s="22">
        <f t="shared" si="25"/>
        <v>0</v>
      </c>
      <c r="J47" s="21">
        <f t="shared" si="26"/>
        <v>0</v>
      </c>
      <c r="K47" s="21">
        <f t="shared" si="27"/>
        <v>0</v>
      </c>
      <c r="L47" t="s">
        <v>249</v>
      </c>
    </row>
    <row r="48" spans="1:12" x14ac:dyDescent="0.25">
      <c r="B48" t="s">
        <v>61</v>
      </c>
      <c r="C48" s="3">
        <v>22522.9</v>
      </c>
      <c r="D48" s="2" t="s">
        <v>70</v>
      </c>
      <c r="E48" t="s">
        <v>216</v>
      </c>
      <c r="F48" s="24" t="str">
        <f t="shared" ref="F48" si="36">MID(E48,26,2)</f>
        <v>8f</v>
      </c>
      <c r="G48" s="24" t="str">
        <f t="shared" si="23"/>
        <v>03</v>
      </c>
      <c r="H48" s="22">
        <f t="shared" si="24"/>
        <v>91.1</v>
      </c>
      <c r="I48" s="22">
        <f t="shared" si="25"/>
        <v>3661.1</v>
      </c>
      <c r="J48" s="21">
        <f t="shared" si="26"/>
        <v>19.100000000000001</v>
      </c>
      <c r="K48" s="21">
        <f t="shared" si="27"/>
        <v>229.1</v>
      </c>
    </row>
    <row r="49" spans="1:12" x14ac:dyDescent="0.25">
      <c r="B49" t="s">
        <v>62</v>
      </c>
      <c r="C49" s="3">
        <v>22522.9</v>
      </c>
      <c r="D49" s="2" t="s">
        <v>70</v>
      </c>
      <c r="E49" t="s">
        <v>217</v>
      </c>
      <c r="F49" s="24" t="str">
        <f t="shared" ref="F49" si="37">MID(E49,26,2)</f>
        <v>0a</v>
      </c>
      <c r="G49" s="24" t="str">
        <f t="shared" si="23"/>
        <v>02</v>
      </c>
      <c r="H49" s="22">
        <f t="shared" si="24"/>
        <v>52.2</v>
      </c>
      <c r="I49" s="22">
        <f t="shared" si="25"/>
        <v>256.2</v>
      </c>
      <c r="J49" s="21">
        <f t="shared" si="26"/>
        <v>4.2</v>
      </c>
      <c r="K49" s="21">
        <f t="shared" si="27"/>
        <v>16.2</v>
      </c>
    </row>
    <row r="50" spans="1:12" x14ac:dyDescent="0.25">
      <c r="B50" t="s">
        <v>63</v>
      </c>
      <c r="C50" s="3">
        <v>0</v>
      </c>
      <c r="D50" s="2" t="s">
        <v>70</v>
      </c>
      <c r="E50" t="s">
        <v>218</v>
      </c>
      <c r="F50" s="24" t="str">
        <f t="shared" ref="F50" si="38">MID(E50,26,2)</f>
        <v>16</v>
      </c>
      <c r="G50" s="24" t="str">
        <f t="shared" si="23"/>
        <v>00</v>
      </c>
      <c r="H50" s="22">
        <f t="shared" si="24"/>
        <v>2.2000000000000002</v>
      </c>
      <c r="I50" s="22">
        <f t="shared" si="25"/>
        <v>563.20000000000005</v>
      </c>
      <c r="J50" s="21">
        <f t="shared" si="26"/>
        <v>2.2000000000000002</v>
      </c>
      <c r="K50" s="21">
        <f t="shared" si="27"/>
        <v>35.200000000000003</v>
      </c>
      <c r="L50" t="s">
        <v>249</v>
      </c>
    </row>
    <row r="51" spans="1:12" x14ac:dyDescent="0.25">
      <c r="B51" s="11" t="s">
        <v>64</v>
      </c>
      <c r="C51" s="3">
        <v>0</v>
      </c>
      <c r="D51" s="2" t="s">
        <v>33</v>
      </c>
      <c r="E51" t="s">
        <v>219</v>
      </c>
      <c r="F51" s="24" t="str">
        <f t="shared" ref="F51" si="39">MID(E51,26,2)</f>
        <v>0b</v>
      </c>
      <c r="G51" s="24" t="str">
        <f t="shared" si="23"/>
        <v>00</v>
      </c>
      <c r="H51" s="22">
        <f t="shared" si="24"/>
        <v>1.1000000000000001</v>
      </c>
      <c r="I51" s="22">
        <f t="shared" si="25"/>
        <v>281.60000000000002</v>
      </c>
      <c r="J51" s="21">
        <f t="shared" si="26"/>
        <v>1.1000000000000001</v>
      </c>
      <c r="K51" s="21">
        <f t="shared" si="27"/>
        <v>17.600000000000001</v>
      </c>
      <c r="L51" t="s">
        <v>254</v>
      </c>
    </row>
    <row r="52" spans="1:12" x14ac:dyDescent="0.25">
      <c r="B52" s="11" t="s">
        <v>65</v>
      </c>
      <c r="C52" s="3">
        <v>0</v>
      </c>
      <c r="D52" s="2" t="s">
        <v>33</v>
      </c>
      <c r="E52" t="s">
        <v>220</v>
      </c>
      <c r="F52" s="24" t="str">
        <f t="shared" ref="F52" si="40">MID(E52,26,2)</f>
        <v>06</v>
      </c>
      <c r="G52" s="24" t="str">
        <f t="shared" si="23"/>
        <v>00</v>
      </c>
      <c r="H52" s="22">
        <f t="shared" si="24"/>
        <v>0.6</v>
      </c>
      <c r="I52" s="22">
        <f t="shared" si="25"/>
        <v>153.6</v>
      </c>
      <c r="J52" s="21">
        <f t="shared" si="26"/>
        <v>0.6</v>
      </c>
      <c r="K52" s="21">
        <f t="shared" si="27"/>
        <v>9.6</v>
      </c>
      <c r="L52" t="s">
        <v>254</v>
      </c>
    </row>
    <row r="53" spans="1:12" x14ac:dyDescent="0.25">
      <c r="B53" s="11" t="s">
        <v>66</v>
      </c>
      <c r="C53" s="3">
        <v>0</v>
      </c>
      <c r="D53" s="2" t="s">
        <v>33</v>
      </c>
      <c r="E53" t="s">
        <v>221</v>
      </c>
      <c r="F53" s="24" t="str">
        <f t="shared" ref="F53" si="41">MID(E53,26,2)</f>
        <v>0f</v>
      </c>
      <c r="G53" s="24" t="str">
        <f t="shared" si="23"/>
        <v>00</v>
      </c>
      <c r="H53" s="22">
        <f t="shared" si="24"/>
        <v>1.5</v>
      </c>
      <c r="I53" s="22">
        <f t="shared" si="25"/>
        <v>384</v>
      </c>
      <c r="J53" s="21">
        <f t="shared" si="26"/>
        <v>1.5</v>
      </c>
      <c r="K53" s="21">
        <f t="shared" si="27"/>
        <v>24</v>
      </c>
      <c r="L53" t="s">
        <v>254</v>
      </c>
    </row>
    <row r="54" spans="1:12" x14ac:dyDescent="0.25">
      <c r="B54" s="11" t="s">
        <v>67</v>
      </c>
      <c r="C54" s="3">
        <v>0</v>
      </c>
      <c r="D54" s="2" t="s">
        <v>33</v>
      </c>
      <c r="E54" t="s">
        <v>222</v>
      </c>
      <c r="F54" s="24" t="str">
        <f t="shared" ref="F54" si="42">MID(E54,26,2)</f>
        <v>60</v>
      </c>
      <c r="G54" s="24" t="str">
        <f t="shared" si="23"/>
        <v>60</v>
      </c>
      <c r="H54" s="22">
        <f t="shared" si="24"/>
        <v>2467.1999999999998</v>
      </c>
      <c r="I54" s="22">
        <f t="shared" si="25"/>
        <v>2467.1999999999998</v>
      </c>
      <c r="J54" s="21">
        <f t="shared" si="26"/>
        <v>163.19999999999999</v>
      </c>
      <c r="K54" s="21">
        <f t="shared" si="27"/>
        <v>163.19999999999999</v>
      </c>
      <c r="L54" t="s">
        <v>254</v>
      </c>
    </row>
    <row r="55" spans="1:12" x14ac:dyDescent="0.25">
      <c r="B55" s="11" t="s">
        <v>68</v>
      </c>
      <c r="C55" s="3">
        <v>0</v>
      </c>
      <c r="D55" s="2" t="s">
        <v>33</v>
      </c>
      <c r="E55" t="s">
        <v>223</v>
      </c>
      <c r="F55" s="24" t="str">
        <f t="shared" ref="F55" si="43">MID(E55,26,2)</f>
        <v>00</v>
      </c>
      <c r="G55" s="24" t="str">
        <f t="shared" si="23"/>
        <v>0c</v>
      </c>
      <c r="H55" s="22">
        <f t="shared" si="24"/>
        <v>307.2</v>
      </c>
      <c r="I55" s="22">
        <f t="shared" si="25"/>
        <v>1.2</v>
      </c>
      <c r="J55" s="21">
        <f t="shared" si="26"/>
        <v>19.2</v>
      </c>
      <c r="K55" s="21">
        <f t="shared" si="27"/>
        <v>1.2</v>
      </c>
      <c r="L55" t="s">
        <v>254</v>
      </c>
    </row>
    <row r="56" spans="1:12" x14ac:dyDescent="0.25">
      <c r="B56" s="11" t="s">
        <v>69</v>
      </c>
      <c r="C56" s="3">
        <v>0</v>
      </c>
      <c r="D56" s="2" t="s">
        <v>33</v>
      </c>
      <c r="E56" t="s">
        <v>224</v>
      </c>
      <c r="F56" s="24" t="str">
        <f t="shared" ref="F56" si="44">MID(E56,26,2)</f>
        <v>8f</v>
      </c>
      <c r="G56" s="24" t="str">
        <f t="shared" si="23"/>
        <v>03</v>
      </c>
      <c r="H56" s="22">
        <f t="shared" si="24"/>
        <v>91.1</v>
      </c>
      <c r="I56" s="22">
        <f t="shared" si="25"/>
        <v>3661.1</v>
      </c>
      <c r="J56" s="21">
        <f t="shared" si="26"/>
        <v>19.100000000000001</v>
      </c>
      <c r="K56" s="21">
        <f t="shared" si="27"/>
        <v>229.1</v>
      </c>
      <c r="L56" t="s">
        <v>254</v>
      </c>
    </row>
    <row r="58" spans="1:12" s="11" customFormat="1" hidden="1" x14ac:dyDescent="0.25">
      <c r="A58" s="10" t="s">
        <v>73</v>
      </c>
      <c r="B58" s="11" t="s">
        <v>74</v>
      </c>
      <c r="C58" s="12" t="s">
        <v>90</v>
      </c>
      <c r="D58" s="13"/>
      <c r="F58" s="25"/>
      <c r="G58" s="25"/>
    </row>
    <row r="59" spans="1:12" s="11" customFormat="1" hidden="1" x14ac:dyDescent="0.25">
      <c r="A59" s="10"/>
      <c r="B59" s="11" t="s">
        <v>75</v>
      </c>
      <c r="C59" s="12">
        <v>6</v>
      </c>
      <c r="D59" s="13" t="s">
        <v>32</v>
      </c>
      <c r="F59" s="25"/>
      <c r="G59" s="25"/>
    </row>
    <row r="60" spans="1:12" s="11" customFormat="1" hidden="1" x14ac:dyDescent="0.25">
      <c r="A60" s="10"/>
      <c r="B60" s="11" t="s">
        <v>76</v>
      </c>
      <c r="C60" s="12" t="s">
        <v>92</v>
      </c>
      <c r="D60" s="13" t="s">
        <v>94</v>
      </c>
      <c r="F60" s="25"/>
      <c r="G60" s="25"/>
    </row>
    <row r="61" spans="1:12" s="11" customFormat="1" hidden="1" x14ac:dyDescent="0.25">
      <c r="A61" s="10"/>
      <c r="B61" s="11" t="s">
        <v>77</v>
      </c>
      <c r="C61" s="12" t="s">
        <v>93</v>
      </c>
      <c r="D61" s="13" t="s">
        <v>94</v>
      </c>
      <c r="F61" s="25"/>
      <c r="G61" s="25"/>
    </row>
    <row r="62" spans="1:12" s="11" customFormat="1" hidden="1" x14ac:dyDescent="0.25">
      <c r="A62" s="10"/>
      <c r="B62" s="11" t="s">
        <v>78</v>
      </c>
      <c r="C62" s="12" t="s">
        <v>99</v>
      </c>
      <c r="D62" s="13" t="s">
        <v>32</v>
      </c>
      <c r="F62" s="25"/>
      <c r="G62" s="25"/>
    </row>
    <row r="63" spans="1:12" s="11" customFormat="1" hidden="1" x14ac:dyDescent="0.25">
      <c r="A63" s="10"/>
      <c r="B63" s="11" t="s">
        <v>79</v>
      </c>
      <c r="C63" s="14">
        <v>2</v>
      </c>
      <c r="D63" s="13" t="s">
        <v>50</v>
      </c>
      <c r="F63" s="25"/>
      <c r="G63" s="25"/>
    </row>
    <row r="64" spans="1:12" s="11" customFormat="1" hidden="1" x14ac:dyDescent="0.25">
      <c r="A64" s="10"/>
      <c r="B64" s="11" t="s">
        <v>80</v>
      </c>
      <c r="C64" s="14">
        <v>1</v>
      </c>
      <c r="D64" s="13" t="s">
        <v>50</v>
      </c>
      <c r="F64" s="25"/>
      <c r="G64" s="25"/>
    </row>
    <row r="65" spans="1:7" s="11" customFormat="1" hidden="1" x14ac:dyDescent="0.25">
      <c r="A65" s="10"/>
      <c r="B65" s="11" t="s">
        <v>81</v>
      </c>
      <c r="C65" s="9" t="s">
        <v>157</v>
      </c>
      <c r="D65" s="13" t="s">
        <v>6</v>
      </c>
      <c r="F65" s="25"/>
      <c r="G65" s="25"/>
    </row>
    <row r="66" spans="1:7" s="11" customFormat="1" hidden="1" x14ac:dyDescent="0.25">
      <c r="A66" s="10"/>
      <c r="B66" s="11" t="s">
        <v>82</v>
      </c>
      <c r="C66" s="12">
        <v>1.8</v>
      </c>
      <c r="D66" s="13" t="s">
        <v>71</v>
      </c>
      <c r="F66" s="25"/>
      <c r="G66" s="25"/>
    </row>
    <row r="67" spans="1:7" s="11" customFormat="1" hidden="1" x14ac:dyDescent="0.25">
      <c r="A67" s="10"/>
      <c r="B67" s="11" t="s">
        <v>83</v>
      </c>
      <c r="C67" s="14">
        <v>6</v>
      </c>
      <c r="D67" s="13" t="s">
        <v>71</v>
      </c>
      <c r="F67" s="25"/>
      <c r="G67" s="25"/>
    </row>
    <row r="68" spans="1:7" s="11" customFormat="1" hidden="1" x14ac:dyDescent="0.25">
      <c r="A68" s="10"/>
      <c r="B68" s="11" t="s">
        <v>85</v>
      </c>
      <c r="C68" s="14">
        <v>20</v>
      </c>
      <c r="D68" s="13" t="s">
        <v>91</v>
      </c>
      <c r="F68" s="25"/>
      <c r="G68" s="25"/>
    </row>
    <row r="69" spans="1:7" s="11" customFormat="1" hidden="1" x14ac:dyDescent="0.25">
      <c r="A69" s="10"/>
      <c r="B69" s="11" t="s">
        <v>84</v>
      </c>
      <c r="C69" s="14">
        <v>15</v>
      </c>
      <c r="D69" s="13" t="s">
        <v>6</v>
      </c>
      <c r="F69" s="25"/>
      <c r="G69" s="25"/>
    </row>
    <row r="70" spans="1:7" s="11" customFormat="1" hidden="1" x14ac:dyDescent="0.25">
      <c r="A70" s="10"/>
      <c r="B70" s="11" t="s">
        <v>86</v>
      </c>
      <c r="C70" s="14">
        <v>6</v>
      </c>
      <c r="D70" s="13" t="s">
        <v>50</v>
      </c>
      <c r="F70" s="25"/>
      <c r="G70" s="25"/>
    </row>
    <row r="71" spans="1:7" s="11" customFormat="1" hidden="1" x14ac:dyDescent="0.25">
      <c r="A71" s="10"/>
      <c r="B71" s="11" t="s">
        <v>87</v>
      </c>
      <c r="C71" s="14">
        <v>10</v>
      </c>
      <c r="D71" s="13" t="s">
        <v>50</v>
      </c>
      <c r="F71" s="25"/>
      <c r="G71" s="25"/>
    </row>
    <row r="72" spans="1:7" s="11" customFormat="1" hidden="1" x14ac:dyDescent="0.25">
      <c r="A72" s="10"/>
      <c r="B72" s="11" t="s">
        <v>88</v>
      </c>
      <c r="C72" s="14">
        <v>4</v>
      </c>
      <c r="D72" s="13" t="s">
        <v>50</v>
      </c>
      <c r="F72" s="25"/>
      <c r="G72" s="25"/>
    </row>
    <row r="73" spans="1:7" s="11" customFormat="1" hidden="1" x14ac:dyDescent="0.25">
      <c r="A73" s="10"/>
      <c r="B73" s="11" t="s">
        <v>89</v>
      </c>
      <c r="C73" s="14">
        <v>80</v>
      </c>
      <c r="D73" s="13" t="s">
        <v>6</v>
      </c>
      <c r="F73" s="25"/>
      <c r="G73" s="25"/>
    </row>
    <row r="74" spans="1:7" s="11" customFormat="1" hidden="1" x14ac:dyDescent="0.25">
      <c r="A74" s="10"/>
      <c r="B74" s="11" t="s">
        <v>96</v>
      </c>
      <c r="C74" s="12">
        <v>1</v>
      </c>
      <c r="D74" s="13" t="s">
        <v>33</v>
      </c>
      <c r="F74" s="25"/>
      <c r="G74" s="25"/>
    </row>
    <row r="75" spans="1:7" s="11" customFormat="1" hidden="1" x14ac:dyDescent="0.25">
      <c r="A75" s="10"/>
      <c r="B75" s="11" t="s">
        <v>97</v>
      </c>
      <c r="C75" s="14">
        <v>3</v>
      </c>
      <c r="D75" s="13" t="s">
        <v>31</v>
      </c>
      <c r="F75" s="25"/>
      <c r="G75" s="25"/>
    </row>
    <row r="76" spans="1:7" s="11" customFormat="1" hidden="1" x14ac:dyDescent="0.25">
      <c r="A76" s="10"/>
      <c r="B76" s="11" t="s">
        <v>98</v>
      </c>
      <c r="C76" s="14">
        <v>3</v>
      </c>
      <c r="D76" s="13" t="s">
        <v>95</v>
      </c>
      <c r="F76" s="25"/>
      <c r="G76" s="25"/>
    </row>
    <row r="77" spans="1:7" hidden="1" x14ac:dyDescent="0.25"/>
    <row r="78" spans="1:7" hidden="1" x14ac:dyDescent="0.25">
      <c r="A78" s="1" t="s">
        <v>100</v>
      </c>
      <c r="B78" t="s">
        <v>102</v>
      </c>
    </row>
    <row r="79" spans="1:7" hidden="1" x14ac:dyDescent="0.25"/>
    <row r="80" spans="1:7" hidden="1" x14ac:dyDescent="0.25">
      <c r="A80" s="1" t="s">
        <v>101</v>
      </c>
      <c r="B80" t="s">
        <v>102</v>
      </c>
    </row>
    <row r="81" spans="1:12" hidden="1" x14ac:dyDescent="0.25"/>
    <row r="82" spans="1:12" x14ac:dyDescent="0.25">
      <c r="A82" s="1" t="s">
        <v>103</v>
      </c>
      <c r="B82" s="26" t="s">
        <v>104</v>
      </c>
      <c r="C82" s="3">
        <v>2</v>
      </c>
      <c r="D82" s="2" t="s">
        <v>6</v>
      </c>
      <c r="E82" s="27" t="s">
        <v>225</v>
      </c>
      <c r="F82" s="24" t="str">
        <f t="shared" ref="F82" si="45">MID(E82,26,2)</f>
        <v>13</v>
      </c>
      <c r="G82" s="24" t="str">
        <f t="shared" ref="G82:G88" si="46">MID(E82,28,2)</f>
        <v>00</v>
      </c>
      <c r="H82" s="20">
        <f t="shared" ref="H82:H88" si="47">(HEX2DEC(F82)+HEX2DEC(G82)*256)/10</f>
        <v>1.9</v>
      </c>
      <c r="I82" s="21">
        <f t="shared" ref="I82:I88" si="48">(HEX2DEC(G82)+HEX2DEC(F82)*256)/10</f>
        <v>486.4</v>
      </c>
      <c r="J82" s="21">
        <f t="shared" ref="J82:J88" si="49">(HEX2DEC(F82)+HEX2DEC(G82)*16)/10</f>
        <v>1.9</v>
      </c>
      <c r="K82" s="21">
        <f t="shared" ref="K82:K88" si="50">(HEX2DEC(G82)+HEX2DEC(F82)*16)/10</f>
        <v>30.4</v>
      </c>
      <c r="L82" s="26" t="s">
        <v>252</v>
      </c>
    </row>
    <row r="83" spans="1:12" x14ac:dyDescent="0.25">
      <c r="B83" s="11" t="s">
        <v>105</v>
      </c>
      <c r="C83" s="3" t="s">
        <v>32</v>
      </c>
      <c r="D83" s="2" t="s">
        <v>6</v>
      </c>
      <c r="E83" t="s">
        <v>226</v>
      </c>
      <c r="F83" s="24" t="str">
        <f t="shared" ref="F83" si="51">MID(E83,26,2)</f>
        <v>18</v>
      </c>
      <c r="G83" s="24" t="str">
        <f t="shared" si="46"/>
        <v>fc</v>
      </c>
      <c r="H83" s="22">
        <f t="shared" si="47"/>
        <v>6453.6</v>
      </c>
      <c r="I83" s="22">
        <f t="shared" si="48"/>
        <v>639.6</v>
      </c>
      <c r="J83" s="21">
        <f t="shared" si="49"/>
        <v>405.6</v>
      </c>
      <c r="K83" s="21">
        <f t="shared" si="50"/>
        <v>63.6</v>
      </c>
    </row>
    <row r="84" spans="1:12" x14ac:dyDescent="0.25">
      <c r="B84" s="11" t="s">
        <v>7</v>
      </c>
      <c r="C84" s="3" t="s">
        <v>109</v>
      </c>
      <c r="D84" s="2" t="s">
        <v>6</v>
      </c>
      <c r="E84" t="s">
        <v>227</v>
      </c>
      <c r="F84" s="24" t="str">
        <f t="shared" ref="F84" si="52">MID(E84,26,2)</f>
        <v>00</v>
      </c>
      <c r="G84" s="24" t="str">
        <f t="shared" si="46"/>
        <v>80</v>
      </c>
      <c r="H84" s="22">
        <f t="shared" si="47"/>
        <v>3276.8</v>
      </c>
      <c r="I84" s="22">
        <f t="shared" si="48"/>
        <v>12.8</v>
      </c>
      <c r="J84" s="21">
        <f t="shared" si="49"/>
        <v>204.8</v>
      </c>
      <c r="K84" s="21">
        <f t="shared" si="50"/>
        <v>12.8</v>
      </c>
    </row>
    <row r="85" spans="1:12" x14ac:dyDescent="0.25">
      <c r="B85" s="26" t="s">
        <v>23</v>
      </c>
      <c r="C85" s="3">
        <v>56</v>
      </c>
      <c r="D85" s="2" t="s">
        <v>6</v>
      </c>
      <c r="E85" s="27" t="s">
        <v>228</v>
      </c>
      <c r="F85" s="24" t="str">
        <f t="shared" ref="F85" si="53">MID(E85,26,2)</f>
        <v>30</v>
      </c>
      <c r="G85" s="24" t="str">
        <f t="shared" si="46"/>
        <v>02</v>
      </c>
      <c r="H85" s="20">
        <f t="shared" si="47"/>
        <v>56</v>
      </c>
      <c r="I85" s="21">
        <f t="shared" si="48"/>
        <v>1229</v>
      </c>
      <c r="J85" s="21">
        <f t="shared" si="49"/>
        <v>8</v>
      </c>
      <c r="K85" s="21">
        <f t="shared" si="50"/>
        <v>77</v>
      </c>
      <c r="L85" s="26" t="s">
        <v>250</v>
      </c>
    </row>
    <row r="86" spans="1:12" x14ac:dyDescent="0.25">
      <c r="B86" s="11" t="s">
        <v>106</v>
      </c>
      <c r="C86" s="3" t="s">
        <v>109</v>
      </c>
      <c r="D86" s="2" t="s">
        <v>6</v>
      </c>
      <c r="E86" t="s">
        <v>229</v>
      </c>
      <c r="F86" s="24" t="str">
        <f t="shared" ref="F86" si="54">MID(E86,26,2)</f>
        <v>00</v>
      </c>
      <c r="G86" s="24" t="str">
        <f t="shared" si="46"/>
        <v>80</v>
      </c>
      <c r="H86" s="22">
        <f t="shared" si="47"/>
        <v>3276.8</v>
      </c>
      <c r="I86" s="22">
        <f t="shared" si="48"/>
        <v>12.8</v>
      </c>
      <c r="J86" s="21">
        <f t="shared" si="49"/>
        <v>204.8</v>
      </c>
      <c r="K86" s="21">
        <f t="shared" si="50"/>
        <v>12.8</v>
      </c>
    </row>
    <row r="87" spans="1:12" x14ac:dyDescent="0.25">
      <c r="B87" s="11" t="s">
        <v>107</v>
      </c>
      <c r="C87" s="3">
        <v>0</v>
      </c>
      <c r="D87" s="2" t="s">
        <v>6</v>
      </c>
      <c r="E87" t="s">
        <v>230</v>
      </c>
      <c r="F87" s="24" t="str">
        <f t="shared" ref="F87" si="55">MID(E87,26,2)</f>
        <v>00</v>
      </c>
      <c r="G87" s="24" t="str">
        <f t="shared" si="46"/>
        <v>00</v>
      </c>
      <c r="H87" s="22">
        <f t="shared" si="47"/>
        <v>0</v>
      </c>
      <c r="I87" s="22">
        <f t="shared" si="48"/>
        <v>0</v>
      </c>
      <c r="J87" s="21">
        <f t="shared" si="49"/>
        <v>0</v>
      </c>
      <c r="K87" s="21">
        <f t="shared" si="50"/>
        <v>0</v>
      </c>
      <c r="L87" t="s">
        <v>249</v>
      </c>
    </row>
    <row r="88" spans="1:12" x14ac:dyDescent="0.25">
      <c r="B88" s="11" t="s">
        <v>108</v>
      </c>
      <c r="C88" s="3">
        <v>0</v>
      </c>
      <c r="D88" s="2" t="s">
        <v>6</v>
      </c>
      <c r="E88" t="s">
        <v>231</v>
      </c>
      <c r="F88" s="24" t="str">
        <f t="shared" ref="F88" si="56">MID(E88,26,2)</f>
        <v>00</v>
      </c>
      <c r="G88" s="24" t="str">
        <f t="shared" si="46"/>
        <v>00</v>
      </c>
      <c r="H88" s="22">
        <f t="shared" si="47"/>
        <v>0</v>
      </c>
      <c r="I88" s="22">
        <f t="shared" si="48"/>
        <v>0</v>
      </c>
      <c r="J88" s="21">
        <f t="shared" si="49"/>
        <v>0</v>
      </c>
      <c r="K88" s="21">
        <f t="shared" si="50"/>
        <v>0</v>
      </c>
      <c r="L88" t="s">
        <v>249</v>
      </c>
    </row>
    <row r="90" spans="1:12" s="11" customFormat="1" hidden="1" x14ac:dyDescent="0.25">
      <c r="A90" s="10" t="s">
        <v>110</v>
      </c>
      <c r="B90" s="11" t="s">
        <v>111</v>
      </c>
      <c r="C90" s="12" t="s">
        <v>125</v>
      </c>
      <c r="D90" s="13" t="s">
        <v>32</v>
      </c>
      <c r="F90" s="25"/>
      <c r="G90" s="25"/>
    </row>
    <row r="91" spans="1:12" s="11" customFormat="1" hidden="1" x14ac:dyDescent="0.25">
      <c r="A91" s="10"/>
      <c r="B91" s="11" t="s">
        <v>112</v>
      </c>
      <c r="C91" s="12">
        <v>21.5</v>
      </c>
      <c r="D91" s="13" t="s">
        <v>6</v>
      </c>
      <c r="F91" s="25"/>
      <c r="G91" s="25"/>
    </row>
    <row r="92" spans="1:12" s="11" customFormat="1" hidden="1" x14ac:dyDescent="0.25">
      <c r="A92" s="10"/>
      <c r="B92" s="11" t="s">
        <v>113</v>
      </c>
      <c r="C92" s="14">
        <v>16</v>
      </c>
      <c r="D92" s="13" t="s">
        <v>6</v>
      </c>
      <c r="F92" s="25"/>
      <c r="G92" s="25"/>
    </row>
    <row r="93" spans="1:12" s="11" customFormat="1" hidden="1" x14ac:dyDescent="0.25">
      <c r="A93" s="10"/>
      <c r="B93" s="11" t="s">
        <v>114</v>
      </c>
      <c r="C93" s="14">
        <v>0</v>
      </c>
      <c r="D93" s="13" t="s">
        <v>6</v>
      </c>
      <c r="F93" s="25"/>
      <c r="G93" s="25"/>
    </row>
    <row r="94" spans="1:12" s="11" customFormat="1" hidden="1" x14ac:dyDescent="0.25">
      <c r="A94" s="10"/>
      <c r="B94" s="11" t="s">
        <v>115</v>
      </c>
      <c r="C94" s="12" t="s">
        <v>109</v>
      </c>
      <c r="D94" s="13" t="s">
        <v>6</v>
      </c>
      <c r="F94" s="25"/>
      <c r="G94" s="25"/>
    </row>
    <row r="95" spans="1:12" s="11" customFormat="1" hidden="1" x14ac:dyDescent="0.25">
      <c r="A95" s="10"/>
      <c r="B95" s="11" t="s">
        <v>116</v>
      </c>
      <c r="C95" s="12" t="s">
        <v>109</v>
      </c>
      <c r="D95" s="13" t="s">
        <v>6</v>
      </c>
      <c r="F95" s="25"/>
      <c r="G95" s="25"/>
    </row>
    <row r="96" spans="1:12" s="11" customFormat="1" hidden="1" x14ac:dyDescent="0.25">
      <c r="A96" s="10"/>
      <c r="B96" s="11" t="s">
        <v>117</v>
      </c>
      <c r="C96" s="14">
        <v>10</v>
      </c>
      <c r="D96" s="13" t="s">
        <v>32</v>
      </c>
      <c r="F96" s="25"/>
      <c r="G96" s="25"/>
    </row>
    <row r="97" spans="1:7" s="11" customFormat="1" hidden="1" x14ac:dyDescent="0.25">
      <c r="A97" s="10"/>
      <c r="B97" s="11" t="s">
        <v>118</v>
      </c>
      <c r="C97" s="14">
        <v>10</v>
      </c>
      <c r="D97" s="13" t="s">
        <v>6</v>
      </c>
      <c r="F97" s="25"/>
      <c r="G97" s="25"/>
    </row>
    <row r="98" spans="1:7" s="11" customFormat="1" hidden="1" x14ac:dyDescent="0.25">
      <c r="A98" s="10"/>
      <c r="B98" s="11" t="s">
        <v>119</v>
      </c>
      <c r="C98" s="14">
        <v>20</v>
      </c>
      <c r="D98" s="13" t="s">
        <v>6</v>
      </c>
      <c r="F98" s="25"/>
      <c r="G98" s="25"/>
    </row>
    <row r="99" spans="1:7" s="11" customFormat="1" hidden="1" x14ac:dyDescent="0.25">
      <c r="A99" s="10"/>
      <c r="B99" s="11" t="s">
        <v>120</v>
      </c>
      <c r="C99" s="12" t="s">
        <v>109</v>
      </c>
      <c r="D99" s="13" t="s">
        <v>32</v>
      </c>
      <c r="F99" s="25"/>
      <c r="G99" s="25"/>
    </row>
    <row r="100" spans="1:7" s="11" customFormat="1" hidden="1" x14ac:dyDescent="0.25">
      <c r="A100" s="10"/>
      <c r="B100" s="11" t="s">
        <v>121</v>
      </c>
      <c r="C100" s="14">
        <v>57</v>
      </c>
      <c r="D100" s="13" t="s">
        <v>6</v>
      </c>
      <c r="F100" s="25"/>
      <c r="G100" s="25"/>
    </row>
    <row r="101" spans="1:7" s="11" customFormat="1" hidden="1" x14ac:dyDescent="0.25">
      <c r="A101" s="10"/>
      <c r="B101" s="11" t="s">
        <v>122</v>
      </c>
      <c r="C101" s="14">
        <v>40</v>
      </c>
      <c r="D101" s="13" t="s">
        <v>6</v>
      </c>
      <c r="F101" s="25"/>
      <c r="G101" s="25"/>
    </row>
    <row r="102" spans="1:7" s="11" customFormat="1" hidden="1" x14ac:dyDescent="0.25">
      <c r="A102" s="10"/>
      <c r="B102" s="11" t="s">
        <v>123</v>
      </c>
      <c r="C102" s="14">
        <v>0</v>
      </c>
      <c r="D102" s="13" t="s">
        <v>6</v>
      </c>
      <c r="F102" s="25"/>
      <c r="G102" s="25"/>
    </row>
    <row r="103" spans="1:7" s="11" customFormat="1" hidden="1" x14ac:dyDescent="0.25">
      <c r="A103" s="10"/>
      <c r="B103" s="11" t="s">
        <v>124</v>
      </c>
      <c r="C103" s="12" t="s">
        <v>109</v>
      </c>
      <c r="D103" s="13" t="s">
        <v>49</v>
      </c>
      <c r="F103" s="25"/>
      <c r="G103" s="25"/>
    </row>
    <row r="104" spans="1:7" s="11" customFormat="1" hidden="1" x14ac:dyDescent="0.25">
      <c r="A104" s="10"/>
      <c r="C104" s="12"/>
      <c r="D104" s="13"/>
      <c r="F104" s="25"/>
      <c r="G104" s="25"/>
    </row>
    <row r="105" spans="1:7" s="11" customFormat="1" hidden="1" x14ac:dyDescent="0.25">
      <c r="A105" s="10" t="s">
        <v>126</v>
      </c>
      <c r="B105" s="11" t="s">
        <v>128</v>
      </c>
      <c r="C105" s="12" t="s">
        <v>135</v>
      </c>
      <c r="D105" s="13" t="s">
        <v>32</v>
      </c>
      <c r="F105" s="25"/>
      <c r="G105" s="25"/>
    </row>
    <row r="106" spans="1:7" s="11" customFormat="1" hidden="1" x14ac:dyDescent="0.25">
      <c r="A106" s="10"/>
      <c r="B106" s="11" t="s">
        <v>129</v>
      </c>
      <c r="C106" s="12" t="s">
        <v>135</v>
      </c>
      <c r="D106" s="13" t="s">
        <v>32</v>
      </c>
      <c r="F106" s="25"/>
      <c r="G106" s="25"/>
    </row>
    <row r="107" spans="1:7" s="11" customFormat="1" hidden="1" x14ac:dyDescent="0.25">
      <c r="A107" s="10"/>
      <c r="B107" s="11" t="s">
        <v>130</v>
      </c>
      <c r="C107" s="12" t="s">
        <v>136</v>
      </c>
      <c r="D107" s="13" t="s">
        <v>32</v>
      </c>
      <c r="F107" s="25"/>
      <c r="G107" s="25"/>
    </row>
    <row r="108" spans="1:7" s="11" customFormat="1" hidden="1" x14ac:dyDescent="0.25">
      <c r="A108" s="10"/>
      <c r="B108" s="11" t="s">
        <v>131</v>
      </c>
      <c r="C108" s="15">
        <v>43826</v>
      </c>
      <c r="D108" s="13" t="s">
        <v>32</v>
      </c>
      <c r="F108" s="25"/>
      <c r="G108" s="25"/>
    </row>
    <row r="109" spans="1:7" s="11" customFormat="1" hidden="1" x14ac:dyDescent="0.25">
      <c r="A109" s="10"/>
      <c r="B109" s="11" t="s">
        <v>132</v>
      </c>
      <c r="C109" s="16">
        <v>0.45347222222222222</v>
      </c>
      <c r="D109" s="13" t="s">
        <v>32</v>
      </c>
      <c r="F109" s="25"/>
      <c r="G109" s="25"/>
    </row>
    <row r="110" spans="1:7" s="11" customFormat="1" hidden="1" x14ac:dyDescent="0.25">
      <c r="A110" s="10"/>
      <c r="B110" s="11" t="s">
        <v>133</v>
      </c>
      <c r="C110" s="12" t="s">
        <v>137</v>
      </c>
      <c r="D110" s="13" t="s">
        <v>32</v>
      </c>
      <c r="F110" s="25"/>
      <c r="G110" s="25"/>
    </row>
    <row r="111" spans="1:7" s="11" customFormat="1" hidden="1" x14ac:dyDescent="0.25">
      <c r="A111" s="10"/>
      <c r="B111" s="11" t="s">
        <v>134</v>
      </c>
      <c r="C111" s="12" t="s">
        <v>138</v>
      </c>
      <c r="D111" s="13" t="s">
        <v>32</v>
      </c>
      <c r="F111" s="25"/>
      <c r="G111" s="25"/>
    </row>
    <row r="112" spans="1:7" s="11" customFormat="1" hidden="1" x14ac:dyDescent="0.25">
      <c r="A112" s="10"/>
      <c r="C112" s="12"/>
      <c r="D112" s="13"/>
      <c r="F112" s="25"/>
      <c r="G112" s="25"/>
    </row>
    <row r="113" spans="1:7" s="11" customFormat="1" hidden="1" x14ac:dyDescent="0.25">
      <c r="A113" s="10" t="s">
        <v>127</v>
      </c>
      <c r="B113" s="11" t="s">
        <v>139</v>
      </c>
      <c r="C113" s="12" t="s">
        <v>146</v>
      </c>
      <c r="D113" s="13" t="s">
        <v>32</v>
      </c>
      <c r="F113" s="25"/>
      <c r="G113" s="25"/>
    </row>
    <row r="114" spans="1:7" s="11" customFormat="1" hidden="1" x14ac:dyDescent="0.25">
      <c r="A114" s="10"/>
      <c r="B114" s="11" t="s">
        <v>140</v>
      </c>
      <c r="C114" s="12" t="s">
        <v>32</v>
      </c>
      <c r="D114" s="13" t="s">
        <v>6</v>
      </c>
      <c r="F114" s="25"/>
      <c r="G114" s="25"/>
    </row>
    <row r="115" spans="1:7" s="11" customFormat="1" hidden="1" x14ac:dyDescent="0.25">
      <c r="A115" s="10"/>
      <c r="B115" s="11" t="s">
        <v>141</v>
      </c>
      <c r="C115" s="12">
        <v>120</v>
      </c>
      <c r="D115" s="13" t="s">
        <v>49</v>
      </c>
      <c r="F115" s="25"/>
      <c r="G115" s="25"/>
    </row>
    <row r="116" spans="1:7" s="11" customFormat="1" hidden="1" x14ac:dyDescent="0.25">
      <c r="A116" s="10"/>
      <c r="B116" s="11" t="s">
        <v>142</v>
      </c>
      <c r="C116" s="12" t="s">
        <v>109</v>
      </c>
      <c r="D116" s="13" t="s">
        <v>49</v>
      </c>
      <c r="F116" s="25"/>
      <c r="G116" s="25"/>
    </row>
    <row r="117" spans="1:7" s="11" customFormat="1" hidden="1" x14ac:dyDescent="0.25">
      <c r="A117" s="10"/>
      <c r="B117" s="11" t="s">
        <v>143</v>
      </c>
      <c r="C117" s="12" t="s">
        <v>32</v>
      </c>
      <c r="D117" s="13" t="s">
        <v>32</v>
      </c>
      <c r="F117" s="25"/>
      <c r="G117" s="25"/>
    </row>
    <row r="118" spans="1:7" s="11" customFormat="1" hidden="1" x14ac:dyDescent="0.25">
      <c r="A118" s="10"/>
      <c r="B118" s="11" t="s">
        <v>144</v>
      </c>
      <c r="C118" s="12">
        <v>30</v>
      </c>
      <c r="D118" s="13" t="s">
        <v>49</v>
      </c>
      <c r="F118" s="25"/>
      <c r="G118" s="25"/>
    </row>
    <row r="119" spans="1:7" s="11" customFormat="1" hidden="1" x14ac:dyDescent="0.25">
      <c r="A119" s="10"/>
      <c r="B119" s="11" t="s">
        <v>145</v>
      </c>
      <c r="C119" s="12" t="s">
        <v>147</v>
      </c>
      <c r="D119" s="13" t="s">
        <v>32</v>
      </c>
      <c r="F119" s="25"/>
      <c r="G119" s="25"/>
    </row>
    <row r="120" spans="1:7" s="11" customFormat="1" hidden="1" x14ac:dyDescent="0.25">
      <c r="A120" s="10"/>
      <c r="C120" s="12"/>
      <c r="D120" s="13"/>
      <c r="F120" s="25"/>
      <c r="G120" s="25"/>
    </row>
    <row r="121" spans="1:7" s="11" customFormat="1" hidden="1" x14ac:dyDescent="0.25">
      <c r="A121" s="10" t="s">
        <v>148</v>
      </c>
      <c r="B121" s="11" t="s">
        <v>15</v>
      </c>
      <c r="C121" s="12" t="s">
        <v>32</v>
      </c>
      <c r="D121" s="13" t="s">
        <v>32</v>
      </c>
      <c r="F121" s="25"/>
      <c r="G121" s="25"/>
    </row>
    <row r="122" spans="1:7" s="11" customFormat="1" hidden="1" x14ac:dyDescent="0.25">
      <c r="A122" s="10"/>
      <c r="B122" s="11" t="s">
        <v>149</v>
      </c>
      <c r="C122" s="12" t="s">
        <v>32</v>
      </c>
      <c r="D122" s="13" t="s">
        <v>32</v>
      </c>
      <c r="F122" s="25"/>
      <c r="G122" s="25"/>
    </row>
    <row r="123" spans="1:7" s="11" customFormat="1" hidden="1" x14ac:dyDescent="0.25">
      <c r="A123" s="10"/>
      <c r="B123" s="11" t="s">
        <v>150</v>
      </c>
      <c r="C123" s="9" t="s">
        <v>157</v>
      </c>
      <c r="D123" s="13" t="s">
        <v>32</v>
      </c>
      <c r="F123" s="25"/>
      <c r="G123" s="25"/>
    </row>
    <row r="124" spans="1:7" s="11" customFormat="1" hidden="1" x14ac:dyDescent="0.25">
      <c r="A124" s="10"/>
      <c r="B124" s="11" t="s">
        <v>151</v>
      </c>
      <c r="C124" s="9" t="s">
        <v>157</v>
      </c>
      <c r="D124" s="13" t="s">
        <v>32</v>
      </c>
      <c r="F124" s="25"/>
      <c r="G124" s="25"/>
    </row>
    <row r="125" spans="1:7" s="11" customFormat="1" hidden="1" x14ac:dyDescent="0.25">
      <c r="A125" s="10"/>
      <c r="B125" s="11" t="s">
        <v>152</v>
      </c>
      <c r="C125" s="12" t="s">
        <v>32</v>
      </c>
      <c r="D125" s="13" t="s">
        <v>32</v>
      </c>
      <c r="F125" s="25"/>
      <c r="G125" s="25"/>
    </row>
    <row r="126" spans="1:7" s="11" customFormat="1" hidden="1" x14ac:dyDescent="0.25">
      <c r="A126" s="10"/>
      <c r="B126" s="11" t="s">
        <v>153</v>
      </c>
      <c r="C126" s="12" t="s">
        <v>155</v>
      </c>
      <c r="D126" s="13" t="s">
        <v>32</v>
      </c>
      <c r="F126" s="25"/>
      <c r="G126" s="25"/>
    </row>
    <row r="127" spans="1:7" s="11" customFormat="1" hidden="1" x14ac:dyDescent="0.25">
      <c r="A127" s="10"/>
      <c r="B127" s="11" t="s">
        <v>154</v>
      </c>
      <c r="C127" s="12" t="s">
        <v>156</v>
      </c>
      <c r="D127" s="13" t="s">
        <v>32</v>
      </c>
      <c r="F127" s="25"/>
      <c r="G127" s="25"/>
    </row>
    <row r="128" spans="1:7" s="11" customFormat="1" hidden="1" x14ac:dyDescent="0.25">
      <c r="A128" s="10"/>
      <c r="C128" s="12"/>
      <c r="D128" s="13"/>
      <c r="F128" s="25"/>
      <c r="G128" s="25"/>
    </row>
    <row r="129" spans="1:12" s="11" customFormat="1" hidden="1" x14ac:dyDescent="0.25">
      <c r="A129" s="10" t="s">
        <v>158</v>
      </c>
      <c r="B129" s="11" t="s">
        <v>159</v>
      </c>
      <c r="C129" s="12"/>
      <c r="D129" s="13"/>
      <c r="F129" s="25"/>
      <c r="G129" s="25"/>
    </row>
    <row r="130" spans="1:12" hidden="1" x14ac:dyDescent="0.25"/>
    <row r="131" spans="1:12" x14ac:dyDescent="0.25">
      <c r="A131" s="1" t="s">
        <v>160</v>
      </c>
      <c r="B131" s="26" t="s">
        <v>104</v>
      </c>
      <c r="C131" s="3">
        <v>2</v>
      </c>
      <c r="D131" s="2" t="s">
        <v>6</v>
      </c>
      <c r="E131" s="27" t="s">
        <v>232</v>
      </c>
      <c r="F131" s="24" t="str">
        <f t="shared" ref="F131" si="57">MID(E131,26,2)</f>
        <v>12</v>
      </c>
      <c r="G131" s="24" t="str">
        <f t="shared" ref="G131:G137" si="58">MID(E131,28,2)</f>
        <v>00</v>
      </c>
      <c r="H131" s="20">
        <f t="shared" ref="H131:H137" si="59">(HEX2DEC(F131)+HEX2DEC(G131)*256)/10</f>
        <v>1.8</v>
      </c>
      <c r="I131" s="21">
        <f t="shared" ref="I131:I137" si="60">(HEX2DEC(G131)+HEX2DEC(F131)*256)/10</f>
        <v>460.8</v>
      </c>
      <c r="J131" s="21">
        <f t="shared" ref="J131:J186" si="61">(HEX2DEC(F131)+HEX2DEC(G131)*16)/10</f>
        <v>1.8</v>
      </c>
      <c r="K131" s="21">
        <f t="shared" ref="K131:K186" si="62">(HEX2DEC(G131)+HEX2DEC(F131)*16)/10</f>
        <v>28.8</v>
      </c>
      <c r="L131" s="26" t="s">
        <v>250</v>
      </c>
    </row>
    <row r="132" spans="1:12" x14ac:dyDescent="0.25">
      <c r="B132" s="11" t="s">
        <v>105</v>
      </c>
      <c r="C132" s="3" t="s">
        <v>109</v>
      </c>
      <c r="D132" s="2" t="s">
        <v>6</v>
      </c>
      <c r="E132" t="s">
        <v>233</v>
      </c>
      <c r="F132" s="24" t="str">
        <f t="shared" ref="F132" si="63">MID(E132,26,2)</f>
        <v>00</v>
      </c>
      <c r="G132" s="24" t="str">
        <f t="shared" si="58"/>
        <v>80</v>
      </c>
      <c r="H132" s="22">
        <f t="shared" si="59"/>
        <v>3276.8</v>
      </c>
      <c r="I132" s="22">
        <f t="shared" si="60"/>
        <v>12.8</v>
      </c>
      <c r="J132" s="21">
        <f t="shared" si="61"/>
        <v>204.8</v>
      </c>
      <c r="K132" s="21">
        <f t="shared" si="62"/>
        <v>12.8</v>
      </c>
    </row>
    <row r="133" spans="1:12" x14ac:dyDescent="0.25">
      <c r="B133" t="s">
        <v>7</v>
      </c>
      <c r="C133" s="3">
        <v>40.4</v>
      </c>
      <c r="D133" s="2" t="s">
        <v>6</v>
      </c>
      <c r="E133" s="27" t="s">
        <v>234</v>
      </c>
      <c r="F133" s="24" t="str">
        <f t="shared" ref="F133" si="64">MID(E133,26,2)</f>
        <v>94</v>
      </c>
      <c r="G133" s="24" t="str">
        <f t="shared" si="58"/>
        <v>01</v>
      </c>
      <c r="H133" s="20">
        <f t="shared" si="59"/>
        <v>40.4</v>
      </c>
      <c r="I133" s="21">
        <f t="shared" si="60"/>
        <v>3788.9</v>
      </c>
      <c r="J133" s="21">
        <f t="shared" si="61"/>
        <v>16.399999999999999</v>
      </c>
      <c r="K133" s="21">
        <f t="shared" si="62"/>
        <v>236.9</v>
      </c>
    </row>
    <row r="134" spans="1:12" x14ac:dyDescent="0.25">
      <c r="B134" s="11" t="s">
        <v>23</v>
      </c>
      <c r="C134" s="3" t="s">
        <v>32</v>
      </c>
      <c r="D134" s="2" t="s">
        <v>6</v>
      </c>
      <c r="E134" t="s">
        <v>235</v>
      </c>
      <c r="F134" s="24" t="str">
        <f t="shared" ref="F134" si="65">MID(E134,26,2)</f>
        <v>18</v>
      </c>
      <c r="G134" s="24" t="str">
        <f t="shared" si="58"/>
        <v>fc</v>
      </c>
      <c r="H134" s="22">
        <f t="shared" si="59"/>
        <v>6453.6</v>
      </c>
      <c r="I134" s="22">
        <f t="shared" si="60"/>
        <v>639.6</v>
      </c>
      <c r="J134" s="21">
        <f t="shared" si="61"/>
        <v>405.6</v>
      </c>
      <c r="K134" s="21">
        <f t="shared" si="62"/>
        <v>63.6</v>
      </c>
    </row>
    <row r="135" spans="1:12" x14ac:dyDescent="0.25">
      <c r="B135" s="11" t="s">
        <v>106</v>
      </c>
      <c r="C135" s="3" t="s">
        <v>32</v>
      </c>
      <c r="D135" s="2" t="s">
        <v>6</v>
      </c>
      <c r="E135" t="s">
        <v>236</v>
      </c>
      <c r="F135" s="24" t="str">
        <f t="shared" ref="F135" si="66">MID(E135,26,2)</f>
        <v>18</v>
      </c>
      <c r="G135" s="24" t="str">
        <f t="shared" si="58"/>
        <v>fc</v>
      </c>
      <c r="H135" s="22">
        <f t="shared" si="59"/>
        <v>6453.6</v>
      </c>
      <c r="I135" s="22">
        <f t="shared" si="60"/>
        <v>639.6</v>
      </c>
      <c r="J135" s="21">
        <f t="shared" si="61"/>
        <v>405.6</v>
      </c>
      <c r="K135" s="21">
        <f t="shared" si="62"/>
        <v>63.6</v>
      </c>
    </row>
    <row r="136" spans="1:12" x14ac:dyDescent="0.25">
      <c r="B136" s="11" t="s">
        <v>107</v>
      </c>
      <c r="C136" s="3">
        <v>41.3</v>
      </c>
      <c r="D136" s="2" t="s">
        <v>6</v>
      </c>
      <c r="E136" s="27" t="s">
        <v>237</v>
      </c>
      <c r="F136" s="24" t="str">
        <f t="shared" ref="F136" si="67">MID(E136,26,2)</f>
        <v>9d</v>
      </c>
      <c r="G136" s="24" t="str">
        <f t="shared" si="58"/>
        <v>01</v>
      </c>
      <c r="H136" s="20">
        <f t="shared" si="59"/>
        <v>41.3</v>
      </c>
      <c r="I136" s="21">
        <f t="shared" si="60"/>
        <v>4019.3</v>
      </c>
      <c r="J136" s="21">
        <f t="shared" si="61"/>
        <v>17.3</v>
      </c>
      <c r="K136" s="21">
        <f t="shared" si="62"/>
        <v>251.3</v>
      </c>
    </row>
    <row r="137" spans="1:12" x14ac:dyDescent="0.25">
      <c r="B137" s="11" t="s">
        <v>108</v>
      </c>
      <c r="C137" s="3">
        <v>43.3</v>
      </c>
      <c r="D137" s="2" t="s">
        <v>6</v>
      </c>
      <c r="E137" s="27" t="s">
        <v>238</v>
      </c>
      <c r="F137" s="24" t="str">
        <f t="shared" ref="F137" si="68">MID(E137,26,2)</f>
        <v>b1</v>
      </c>
      <c r="G137" s="24" t="str">
        <f t="shared" si="58"/>
        <v>01</v>
      </c>
      <c r="H137" s="20">
        <f t="shared" si="59"/>
        <v>43.3</v>
      </c>
      <c r="I137" s="21">
        <f t="shared" si="60"/>
        <v>4531.3</v>
      </c>
      <c r="J137" s="21">
        <f t="shared" si="61"/>
        <v>19.3</v>
      </c>
      <c r="K137" s="21">
        <f t="shared" si="62"/>
        <v>283.3</v>
      </c>
    </row>
    <row r="138" spans="1:12" x14ac:dyDescent="0.25">
      <c r="J138" s="21">
        <f t="shared" si="61"/>
        <v>0</v>
      </c>
      <c r="K138" s="21">
        <f t="shared" si="62"/>
        <v>0</v>
      </c>
    </row>
    <row r="139" spans="1:12" s="11" customFormat="1" hidden="1" x14ac:dyDescent="0.25">
      <c r="A139" s="10" t="s">
        <v>161</v>
      </c>
      <c r="B139" s="11" t="s">
        <v>111</v>
      </c>
      <c r="C139" s="12" t="s">
        <v>125</v>
      </c>
      <c r="D139" s="13" t="s">
        <v>32</v>
      </c>
      <c r="F139" s="25"/>
      <c r="G139" s="25"/>
      <c r="J139" s="21">
        <f t="shared" si="61"/>
        <v>0</v>
      </c>
      <c r="K139" s="21">
        <f t="shared" si="62"/>
        <v>0</v>
      </c>
    </row>
    <row r="140" spans="1:12" s="11" customFormat="1" hidden="1" x14ac:dyDescent="0.25">
      <c r="A140" s="10"/>
      <c r="B140" s="11" t="s">
        <v>112</v>
      </c>
      <c r="C140" s="12">
        <v>24</v>
      </c>
      <c r="D140" s="13" t="s">
        <v>6</v>
      </c>
      <c r="F140" s="25"/>
      <c r="G140" s="25"/>
      <c r="J140" s="21">
        <f t="shared" si="61"/>
        <v>0</v>
      </c>
      <c r="K140" s="21">
        <f t="shared" si="62"/>
        <v>0</v>
      </c>
    </row>
    <row r="141" spans="1:12" s="11" customFormat="1" hidden="1" x14ac:dyDescent="0.25">
      <c r="A141" s="10"/>
      <c r="B141" s="11" t="s">
        <v>113</v>
      </c>
      <c r="C141" s="14">
        <v>18</v>
      </c>
      <c r="D141" s="13" t="s">
        <v>6</v>
      </c>
      <c r="F141" s="25"/>
      <c r="G141" s="25"/>
      <c r="J141" s="21">
        <f t="shared" si="61"/>
        <v>0</v>
      </c>
      <c r="K141" s="21">
        <f t="shared" si="62"/>
        <v>0</v>
      </c>
    </row>
    <row r="142" spans="1:12" s="11" customFormat="1" hidden="1" x14ac:dyDescent="0.25">
      <c r="A142" s="10"/>
      <c r="B142" s="11" t="s">
        <v>114</v>
      </c>
      <c r="C142" s="14">
        <v>0</v>
      </c>
      <c r="D142" s="13" t="s">
        <v>6</v>
      </c>
      <c r="F142" s="25"/>
      <c r="G142" s="25"/>
      <c r="J142" s="21">
        <f t="shared" si="61"/>
        <v>0</v>
      </c>
      <c r="K142" s="21">
        <f t="shared" si="62"/>
        <v>0</v>
      </c>
    </row>
    <row r="143" spans="1:12" s="11" customFormat="1" hidden="1" x14ac:dyDescent="0.25">
      <c r="A143" s="10"/>
      <c r="B143" s="11" t="s">
        <v>115</v>
      </c>
      <c r="C143" s="14" t="s">
        <v>109</v>
      </c>
      <c r="D143" s="13" t="s">
        <v>6</v>
      </c>
      <c r="F143" s="25"/>
      <c r="G143" s="25"/>
      <c r="J143" s="21">
        <f t="shared" si="61"/>
        <v>0</v>
      </c>
      <c r="K143" s="21">
        <f t="shared" si="62"/>
        <v>0</v>
      </c>
    </row>
    <row r="144" spans="1:12" s="11" customFormat="1" hidden="1" x14ac:dyDescent="0.25">
      <c r="A144" s="10"/>
      <c r="B144" s="11" t="s">
        <v>116</v>
      </c>
      <c r="C144" s="14" t="s">
        <v>109</v>
      </c>
      <c r="D144" s="13" t="s">
        <v>6</v>
      </c>
      <c r="F144" s="25"/>
      <c r="G144" s="25"/>
      <c r="J144" s="21">
        <f t="shared" si="61"/>
        <v>0</v>
      </c>
      <c r="K144" s="21">
        <f t="shared" si="62"/>
        <v>0</v>
      </c>
    </row>
    <row r="145" spans="1:11" s="11" customFormat="1" hidden="1" x14ac:dyDescent="0.25">
      <c r="A145" s="10"/>
      <c r="B145" s="11" t="s">
        <v>117</v>
      </c>
      <c r="C145" s="14">
        <v>8</v>
      </c>
      <c r="D145" s="13" t="s">
        <v>32</v>
      </c>
      <c r="F145" s="25"/>
      <c r="G145" s="25"/>
      <c r="J145" s="21">
        <f t="shared" si="61"/>
        <v>0</v>
      </c>
      <c r="K145" s="21">
        <f t="shared" si="62"/>
        <v>0</v>
      </c>
    </row>
    <row r="146" spans="1:11" s="11" customFormat="1" hidden="1" x14ac:dyDescent="0.25">
      <c r="A146" s="10"/>
      <c r="B146" s="11" t="s">
        <v>118</v>
      </c>
      <c r="C146" s="14">
        <v>10</v>
      </c>
      <c r="D146" s="13" t="s">
        <v>6</v>
      </c>
      <c r="F146" s="25"/>
      <c r="G146" s="25"/>
      <c r="J146" s="21">
        <f t="shared" si="61"/>
        <v>0</v>
      </c>
      <c r="K146" s="21">
        <f t="shared" si="62"/>
        <v>0</v>
      </c>
    </row>
    <row r="147" spans="1:11" s="11" customFormat="1" hidden="1" x14ac:dyDescent="0.25">
      <c r="A147" s="10"/>
      <c r="B147" s="11" t="s">
        <v>119</v>
      </c>
      <c r="C147" s="14">
        <v>20</v>
      </c>
      <c r="D147" s="13" t="s">
        <v>6</v>
      </c>
      <c r="F147" s="25"/>
      <c r="G147" s="25"/>
      <c r="J147" s="21">
        <f t="shared" si="61"/>
        <v>0</v>
      </c>
      <c r="K147" s="21">
        <f t="shared" si="62"/>
        <v>0</v>
      </c>
    </row>
    <row r="148" spans="1:11" s="11" customFormat="1" hidden="1" x14ac:dyDescent="0.25">
      <c r="A148" s="10"/>
      <c r="B148" s="11" t="s">
        <v>120</v>
      </c>
      <c r="C148" s="12" t="s">
        <v>166</v>
      </c>
      <c r="D148" s="13" t="s">
        <v>32</v>
      </c>
      <c r="F148" s="25"/>
      <c r="G148" s="25"/>
      <c r="J148" s="21">
        <f t="shared" si="61"/>
        <v>0</v>
      </c>
      <c r="K148" s="21">
        <f t="shared" si="62"/>
        <v>0</v>
      </c>
    </row>
    <row r="149" spans="1:11" s="11" customFormat="1" hidden="1" x14ac:dyDescent="0.25">
      <c r="A149" s="10"/>
      <c r="B149" s="11" t="s">
        <v>121</v>
      </c>
      <c r="C149" s="14" t="s">
        <v>109</v>
      </c>
      <c r="D149" s="13" t="s">
        <v>6</v>
      </c>
      <c r="F149" s="25"/>
      <c r="G149" s="25"/>
      <c r="J149" s="21">
        <f t="shared" si="61"/>
        <v>0</v>
      </c>
      <c r="K149" s="21">
        <f t="shared" si="62"/>
        <v>0</v>
      </c>
    </row>
    <row r="150" spans="1:11" s="11" customFormat="1" hidden="1" x14ac:dyDescent="0.25">
      <c r="A150" s="10"/>
      <c r="B150" s="11" t="s">
        <v>122</v>
      </c>
      <c r="C150" s="14" t="s">
        <v>109</v>
      </c>
      <c r="D150" s="13" t="s">
        <v>6</v>
      </c>
      <c r="F150" s="25"/>
      <c r="G150" s="25"/>
      <c r="J150" s="21">
        <f t="shared" si="61"/>
        <v>0</v>
      </c>
      <c r="K150" s="21">
        <f t="shared" si="62"/>
        <v>0</v>
      </c>
    </row>
    <row r="151" spans="1:11" s="11" customFormat="1" hidden="1" x14ac:dyDescent="0.25">
      <c r="A151" s="10"/>
      <c r="B151" s="11" t="s">
        <v>123</v>
      </c>
      <c r="C151" s="14" t="s">
        <v>109</v>
      </c>
      <c r="D151" s="13" t="s">
        <v>6</v>
      </c>
      <c r="F151" s="25"/>
      <c r="G151" s="25"/>
      <c r="J151" s="21">
        <f t="shared" si="61"/>
        <v>0</v>
      </c>
      <c r="K151" s="21">
        <f t="shared" si="62"/>
        <v>0</v>
      </c>
    </row>
    <row r="152" spans="1:11" s="11" customFormat="1" hidden="1" x14ac:dyDescent="0.25">
      <c r="A152" s="10"/>
      <c r="B152" s="11" t="s">
        <v>124</v>
      </c>
      <c r="C152" s="14" t="s">
        <v>109</v>
      </c>
      <c r="D152" s="13" t="s">
        <v>49</v>
      </c>
      <c r="F152" s="25"/>
      <c r="G152" s="25"/>
      <c r="J152" s="21">
        <f t="shared" si="61"/>
        <v>0</v>
      </c>
      <c r="K152" s="21">
        <f t="shared" si="62"/>
        <v>0</v>
      </c>
    </row>
    <row r="153" spans="1:11" s="11" customFormat="1" hidden="1" x14ac:dyDescent="0.25">
      <c r="A153" s="10"/>
      <c r="C153" s="12"/>
      <c r="D153" s="13"/>
      <c r="F153" s="25"/>
      <c r="G153" s="25"/>
      <c r="J153" s="21">
        <f t="shared" si="61"/>
        <v>0</v>
      </c>
      <c r="K153" s="21">
        <f t="shared" si="62"/>
        <v>0</v>
      </c>
    </row>
    <row r="154" spans="1:11" s="11" customFormat="1" hidden="1" x14ac:dyDescent="0.25">
      <c r="A154" s="10" t="s">
        <v>162</v>
      </c>
      <c r="B154" s="11" t="s">
        <v>128</v>
      </c>
      <c r="C154" s="15">
        <v>36526</v>
      </c>
      <c r="D154" s="13" t="s">
        <v>32</v>
      </c>
      <c r="F154" s="25"/>
      <c r="G154" s="25"/>
      <c r="J154" s="21">
        <f t="shared" si="61"/>
        <v>0</v>
      </c>
      <c r="K154" s="21">
        <f t="shared" si="62"/>
        <v>0</v>
      </c>
    </row>
    <row r="155" spans="1:11" s="11" customFormat="1" hidden="1" x14ac:dyDescent="0.25">
      <c r="A155" s="10"/>
      <c r="B155" s="11" t="s">
        <v>129</v>
      </c>
      <c r="C155" s="15">
        <v>36526</v>
      </c>
      <c r="D155" s="13" t="s">
        <v>32</v>
      </c>
      <c r="F155" s="25"/>
      <c r="G155" s="25"/>
      <c r="J155" s="21">
        <f t="shared" si="61"/>
        <v>0</v>
      </c>
      <c r="K155" s="21">
        <f t="shared" si="62"/>
        <v>0</v>
      </c>
    </row>
    <row r="156" spans="1:11" s="11" customFormat="1" hidden="1" x14ac:dyDescent="0.25">
      <c r="A156" s="10"/>
      <c r="B156" s="11" t="s">
        <v>130</v>
      </c>
      <c r="C156" s="12" t="s">
        <v>167</v>
      </c>
      <c r="D156" s="13" t="s">
        <v>32</v>
      </c>
      <c r="F156" s="25"/>
      <c r="G156" s="25"/>
      <c r="J156" s="21">
        <f t="shared" si="61"/>
        <v>0</v>
      </c>
      <c r="K156" s="21">
        <f t="shared" si="62"/>
        <v>0</v>
      </c>
    </row>
    <row r="157" spans="1:11" s="11" customFormat="1" hidden="1" x14ac:dyDescent="0.25">
      <c r="A157" s="10"/>
      <c r="B157" s="11" t="s">
        <v>131</v>
      </c>
      <c r="C157" s="15">
        <v>43826</v>
      </c>
      <c r="D157" s="13" t="s">
        <v>32</v>
      </c>
      <c r="F157" s="25"/>
      <c r="G157" s="25"/>
      <c r="J157" s="21">
        <f t="shared" si="61"/>
        <v>0</v>
      </c>
      <c r="K157" s="21">
        <f t="shared" si="62"/>
        <v>0</v>
      </c>
    </row>
    <row r="158" spans="1:11" s="11" customFormat="1" hidden="1" x14ac:dyDescent="0.25">
      <c r="A158" s="10"/>
      <c r="B158" s="11" t="s">
        <v>132</v>
      </c>
      <c r="C158" s="16">
        <v>0.4680555555555555</v>
      </c>
      <c r="D158" s="13" t="s">
        <v>32</v>
      </c>
      <c r="F158" s="25"/>
      <c r="G158" s="25"/>
      <c r="J158" s="21">
        <f t="shared" si="61"/>
        <v>0</v>
      </c>
      <c r="K158" s="21">
        <f t="shared" si="62"/>
        <v>0</v>
      </c>
    </row>
    <row r="159" spans="1:11" s="11" customFormat="1" hidden="1" x14ac:dyDescent="0.25">
      <c r="A159" s="10"/>
      <c r="B159" s="11" t="s">
        <v>133</v>
      </c>
      <c r="C159" s="12" t="s">
        <v>109</v>
      </c>
      <c r="D159" s="13" t="s">
        <v>32</v>
      </c>
      <c r="F159" s="25"/>
      <c r="G159" s="25"/>
      <c r="J159" s="21">
        <f t="shared" si="61"/>
        <v>0</v>
      </c>
      <c r="K159" s="21">
        <f t="shared" si="62"/>
        <v>0</v>
      </c>
    </row>
    <row r="160" spans="1:11" s="11" customFormat="1" hidden="1" x14ac:dyDescent="0.25">
      <c r="A160" s="10"/>
      <c r="B160" s="11" t="s">
        <v>134</v>
      </c>
      <c r="C160" s="12" t="s">
        <v>109</v>
      </c>
      <c r="D160" s="13" t="s">
        <v>32</v>
      </c>
      <c r="F160" s="25"/>
      <c r="G160" s="25"/>
      <c r="J160" s="21">
        <f t="shared" si="61"/>
        <v>0</v>
      </c>
      <c r="K160" s="21">
        <f t="shared" si="62"/>
        <v>0</v>
      </c>
    </row>
    <row r="161" spans="1:11" s="11" customFormat="1" hidden="1" x14ac:dyDescent="0.25">
      <c r="A161" s="10"/>
      <c r="C161" s="12"/>
      <c r="D161" s="13"/>
      <c r="F161" s="25"/>
      <c r="G161" s="25"/>
      <c r="J161" s="21">
        <f t="shared" si="61"/>
        <v>0</v>
      </c>
      <c r="K161" s="21">
        <f t="shared" si="62"/>
        <v>0</v>
      </c>
    </row>
    <row r="162" spans="1:11" s="11" customFormat="1" hidden="1" x14ac:dyDescent="0.25">
      <c r="A162" s="10" t="s">
        <v>163</v>
      </c>
      <c r="B162" s="11" t="s">
        <v>139</v>
      </c>
      <c r="C162" s="12" t="s">
        <v>146</v>
      </c>
      <c r="D162" s="13" t="s">
        <v>32</v>
      </c>
      <c r="F162" s="25"/>
      <c r="G162" s="25"/>
      <c r="J162" s="21">
        <f t="shared" si="61"/>
        <v>0</v>
      </c>
      <c r="K162" s="21">
        <f t="shared" si="62"/>
        <v>0</v>
      </c>
    </row>
    <row r="163" spans="1:11" s="11" customFormat="1" hidden="1" x14ac:dyDescent="0.25">
      <c r="A163" s="10"/>
      <c r="B163" s="11" t="s">
        <v>140</v>
      </c>
      <c r="C163" s="12" t="s">
        <v>32</v>
      </c>
      <c r="D163" s="13" t="s">
        <v>6</v>
      </c>
      <c r="F163" s="25"/>
      <c r="G163" s="25"/>
      <c r="J163" s="21">
        <f t="shared" si="61"/>
        <v>0</v>
      </c>
      <c r="K163" s="21">
        <f t="shared" si="62"/>
        <v>0</v>
      </c>
    </row>
    <row r="164" spans="1:11" s="11" customFormat="1" hidden="1" x14ac:dyDescent="0.25">
      <c r="A164" s="10"/>
      <c r="B164" s="11" t="s">
        <v>141</v>
      </c>
      <c r="C164" s="12">
        <v>75</v>
      </c>
      <c r="D164" s="13" t="s">
        <v>49</v>
      </c>
      <c r="F164" s="25"/>
      <c r="G164" s="25"/>
      <c r="J164" s="21">
        <f t="shared" si="61"/>
        <v>0</v>
      </c>
      <c r="K164" s="21">
        <f t="shared" si="62"/>
        <v>0</v>
      </c>
    </row>
    <row r="165" spans="1:11" s="11" customFormat="1" hidden="1" x14ac:dyDescent="0.25">
      <c r="A165" s="10"/>
      <c r="B165" s="11" t="s">
        <v>142</v>
      </c>
      <c r="C165" s="12">
        <v>47</v>
      </c>
      <c r="D165" s="13" t="s">
        <v>49</v>
      </c>
      <c r="F165" s="25"/>
      <c r="G165" s="25"/>
      <c r="J165" s="21">
        <f t="shared" si="61"/>
        <v>0</v>
      </c>
      <c r="K165" s="21">
        <f t="shared" si="62"/>
        <v>0</v>
      </c>
    </row>
    <row r="166" spans="1:11" s="11" customFormat="1" hidden="1" x14ac:dyDescent="0.25">
      <c r="A166" s="10"/>
      <c r="B166" s="11" t="s">
        <v>143</v>
      </c>
      <c r="C166" s="12" t="s">
        <v>32</v>
      </c>
      <c r="D166" s="13" t="s">
        <v>32</v>
      </c>
      <c r="F166" s="25"/>
      <c r="G166" s="25"/>
      <c r="J166" s="21">
        <f t="shared" si="61"/>
        <v>0</v>
      </c>
      <c r="K166" s="21">
        <f t="shared" si="62"/>
        <v>0</v>
      </c>
    </row>
    <row r="167" spans="1:11" s="11" customFormat="1" hidden="1" x14ac:dyDescent="0.25">
      <c r="A167" s="10"/>
      <c r="B167" s="11" t="s">
        <v>144</v>
      </c>
      <c r="C167" s="12" t="s">
        <v>109</v>
      </c>
      <c r="D167" s="13" t="s">
        <v>49</v>
      </c>
      <c r="F167" s="25"/>
      <c r="G167" s="25"/>
      <c r="J167" s="21">
        <f t="shared" si="61"/>
        <v>0</v>
      </c>
      <c r="K167" s="21">
        <f t="shared" si="62"/>
        <v>0</v>
      </c>
    </row>
    <row r="168" spans="1:11" s="11" customFormat="1" hidden="1" x14ac:dyDescent="0.25">
      <c r="A168" s="10"/>
      <c r="B168" s="11" t="s">
        <v>145</v>
      </c>
      <c r="C168" s="12" t="s">
        <v>168</v>
      </c>
      <c r="D168" s="13" t="s">
        <v>32</v>
      </c>
      <c r="F168" s="25"/>
      <c r="G168" s="25"/>
      <c r="J168" s="21">
        <f t="shared" si="61"/>
        <v>0</v>
      </c>
      <c r="K168" s="21">
        <f t="shared" si="62"/>
        <v>0</v>
      </c>
    </row>
    <row r="169" spans="1:11" s="11" customFormat="1" hidden="1" x14ac:dyDescent="0.25">
      <c r="A169" s="10"/>
      <c r="C169" s="12"/>
      <c r="D169" s="13"/>
      <c r="F169" s="25"/>
      <c r="G169" s="25"/>
      <c r="J169" s="21">
        <f t="shared" si="61"/>
        <v>0</v>
      </c>
      <c r="K169" s="21">
        <f t="shared" si="62"/>
        <v>0</v>
      </c>
    </row>
    <row r="170" spans="1:11" s="11" customFormat="1" hidden="1" x14ac:dyDescent="0.25">
      <c r="A170" s="10" t="s">
        <v>164</v>
      </c>
      <c r="B170" s="11" t="s">
        <v>15</v>
      </c>
      <c r="C170" s="12" t="s">
        <v>169</v>
      </c>
      <c r="D170" s="13" t="s">
        <v>32</v>
      </c>
      <c r="F170" s="25"/>
      <c r="G170" s="25"/>
      <c r="J170" s="21">
        <f t="shared" si="61"/>
        <v>0</v>
      </c>
      <c r="K170" s="21">
        <f t="shared" si="62"/>
        <v>0</v>
      </c>
    </row>
    <row r="171" spans="1:11" s="11" customFormat="1" hidden="1" x14ac:dyDescent="0.25">
      <c r="A171" s="10"/>
      <c r="B171" s="11" t="s">
        <v>149</v>
      </c>
      <c r="C171" s="12" t="s">
        <v>170</v>
      </c>
      <c r="D171" s="13" t="s">
        <v>32</v>
      </c>
      <c r="F171" s="25"/>
      <c r="G171" s="25"/>
      <c r="J171" s="21">
        <f t="shared" si="61"/>
        <v>0</v>
      </c>
      <c r="K171" s="21">
        <f t="shared" si="62"/>
        <v>0</v>
      </c>
    </row>
    <row r="172" spans="1:11" s="11" customFormat="1" hidden="1" x14ac:dyDescent="0.25">
      <c r="A172" s="10"/>
      <c r="B172" s="11" t="s">
        <v>150</v>
      </c>
      <c r="C172" s="17" t="s">
        <v>171</v>
      </c>
      <c r="D172" s="13" t="s">
        <v>32</v>
      </c>
      <c r="F172" s="25"/>
      <c r="G172" s="25"/>
      <c r="J172" s="21">
        <f t="shared" si="61"/>
        <v>0</v>
      </c>
      <c r="K172" s="21">
        <f t="shared" si="62"/>
        <v>0</v>
      </c>
    </row>
    <row r="173" spans="1:11" s="11" customFormat="1" hidden="1" x14ac:dyDescent="0.25">
      <c r="A173" s="10"/>
      <c r="B173" s="11" t="s">
        <v>151</v>
      </c>
      <c r="C173" s="17" t="s">
        <v>172</v>
      </c>
      <c r="D173" s="13" t="s">
        <v>32</v>
      </c>
      <c r="F173" s="25"/>
      <c r="G173" s="25"/>
      <c r="J173" s="21">
        <f t="shared" si="61"/>
        <v>0</v>
      </c>
      <c r="K173" s="21">
        <f t="shared" si="62"/>
        <v>0</v>
      </c>
    </row>
    <row r="174" spans="1:11" s="11" customFormat="1" hidden="1" x14ac:dyDescent="0.25">
      <c r="A174" s="10"/>
      <c r="B174" s="11" t="s">
        <v>152</v>
      </c>
      <c r="C174" s="12" t="s">
        <v>173</v>
      </c>
      <c r="D174" s="13" t="s">
        <v>32</v>
      </c>
      <c r="F174" s="25"/>
      <c r="G174" s="25"/>
      <c r="J174" s="21">
        <f t="shared" si="61"/>
        <v>0</v>
      </c>
      <c r="K174" s="21">
        <f t="shared" si="62"/>
        <v>0</v>
      </c>
    </row>
    <row r="175" spans="1:11" s="11" customFormat="1" hidden="1" x14ac:dyDescent="0.25">
      <c r="A175" s="10"/>
      <c r="B175" s="11" t="s">
        <v>153</v>
      </c>
      <c r="C175" s="12" t="s">
        <v>174</v>
      </c>
      <c r="D175" s="13" t="s">
        <v>32</v>
      </c>
      <c r="F175" s="25"/>
      <c r="G175" s="25"/>
      <c r="J175" s="21">
        <f t="shared" si="61"/>
        <v>0</v>
      </c>
      <c r="K175" s="21">
        <f t="shared" si="62"/>
        <v>0</v>
      </c>
    </row>
    <row r="176" spans="1:11" s="11" customFormat="1" hidden="1" x14ac:dyDescent="0.25">
      <c r="A176" s="10"/>
      <c r="B176" s="11" t="s">
        <v>154</v>
      </c>
      <c r="C176" s="12" t="s">
        <v>174</v>
      </c>
      <c r="D176" s="13" t="s">
        <v>32</v>
      </c>
      <c r="F176" s="25"/>
      <c r="G176" s="25"/>
      <c r="J176" s="21">
        <f t="shared" si="61"/>
        <v>0</v>
      </c>
      <c r="K176" s="21">
        <f t="shared" si="62"/>
        <v>0</v>
      </c>
    </row>
    <row r="177" spans="1:12" s="11" customFormat="1" hidden="1" x14ac:dyDescent="0.25">
      <c r="A177" s="10"/>
      <c r="C177" s="12"/>
      <c r="D177" s="13"/>
      <c r="F177" s="25"/>
      <c r="G177" s="25"/>
      <c r="J177" s="21">
        <f t="shared" si="61"/>
        <v>0</v>
      </c>
      <c r="K177" s="21">
        <f t="shared" si="62"/>
        <v>0</v>
      </c>
    </row>
    <row r="178" spans="1:12" s="11" customFormat="1" hidden="1" x14ac:dyDescent="0.25">
      <c r="A178" s="10" t="s">
        <v>165</v>
      </c>
      <c r="B178" s="11" t="s">
        <v>159</v>
      </c>
      <c r="C178" s="12"/>
      <c r="D178" s="13"/>
      <c r="F178" s="25"/>
      <c r="G178" s="25"/>
      <c r="J178" s="21">
        <f t="shared" si="61"/>
        <v>0</v>
      </c>
      <c r="K178" s="21">
        <f t="shared" si="62"/>
        <v>0</v>
      </c>
    </row>
    <row r="179" spans="1:12" hidden="1" x14ac:dyDescent="0.25">
      <c r="J179" s="21">
        <f t="shared" si="61"/>
        <v>0</v>
      </c>
      <c r="K179" s="21">
        <f t="shared" si="62"/>
        <v>0</v>
      </c>
    </row>
    <row r="180" spans="1:12" x14ac:dyDescent="0.25">
      <c r="A180" s="1" t="s">
        <v>175</v>
      </c>
      <c r="B180" s="26" t="s">
        <v>104</v>
      </c>
      <c r="C180" s="3">
        <v>2</v>
      </c>
      <c r="D180" s="2" t="s">
        <v>6</v>
      </c>
      <c r="E180" s="27" t="s">
        <v>239</v>
      </c>
      <c r="F180" s="24" t="str">
        <f t="shared" ref="F180" si="69">MID(E180,26,2)</f>
        <v>13</v>
      </c>
      <c r="G180" s="24" t="str">
        <f t="shared" ref="G180:G186" si="70">MID(E180,28,2)</f>
        <v>00</v>
      </c>
      <c r="H180" s="20">
        <f t="shared" ref="H180:H186" si="71">(HEX2DEC(F180)+HEX2DEC(G180)*256)/10</f>
        <v>1.9</v>
      </c>
      <c r="I180" s="21">
        <f t="shared" ref="I180:I186" si="72">(HEX2DEC(G180)+HEX2DEC(F180)*256)/10</f>
        <v>486.4</v>
      </c>
      <c r="J180" s="21">
        <f t="shared" si="61"/>
        <v>1.9</v>
      </c>
      <c r="K180" s="21">
        <f t="shared" si="62"/>
        <v>30.4</v>
      </c>
      <c r="L180" s="26" t="s">
        <v>250</v>
      </c>
    </row>
    <row r="181" spans="1:12" x14ac:dyDescent="0.25">
      <c r="B181" s="11" t="s">
        <v>105</v>
      </c>
      <c r="C181" s="3" t="s">
        <v>109</v>
      </c>
      <c r="D181" s="2" t="s">
        <v>6</v>
      </c>
      <c r="E181" t="s">
        <v>240</v>
      </c>
      <c r="F181" s="24" t="str">
        <f t="shared" ref="F181" si="73">MID(E181,26,2)</f>
        <v>00</v>
      </c>
      <c r="G181" s="24" t="str">
        <f t="shared" si="70"/>
        <v>80</v>
      </c>
      <c r="H181" s="22">
        <f t="shared" si="71"/>
        <v>3276.8</v>
      </c>
      <c r="I181" s="22">
        <f t="shared" si="72"/>
        <v>12.8</v>
      </c>
      <c r="J181" s="21">
        <f t="shared" si="61"/>
        <v>204.8</v>
      </c>
      <c r="K181" s="21">
        <f t="shared" si="62"/>
        <v>12.8</v>
      </c>
    </row>
    <row r="182" spans="1:12" x14ac:dyDescent="0.25">
      <c r="B182" t="s">
        <v>7</v>
      </c>
      <c r="C182" s="3">
        <v>41.6</v>
      </c>
      <c r="D182" s="2" t="s">
        <v>6</v>
      </c>
      <c r="E182" s="29" t="s">
        <v>241</v>
      </c>
      <c r="F182" s="24" t="str">
        <f t="shared" ref="F182" si="74">MID(E182,26,2)</f>
        <v>a0</v>
      </c>
      <c r="G182" s="24" t="str">
        <f t="shared" si="70"/>
        <v>01</v>
      </c>
      <c r="H182" s="20">
        <f t="shared" si="71"/>
        <v>41.6</v>
      </c>
      <c r="I182" s="22">
        <f t="shared" si="72"/>
        <v>4096.1000000000004</v>
      </c>
      <c r="J182" s="21">
        <f t="shared" si="61"/>
        <v>17.600000000000001</v>
      </c>
      <c r="K182" s="21">
        <f t="shared" si="62"/>
        <v>256.10000000000002</v>
      </c>
      <c r="L182" s="29"/>
    </row>
    <row r="183" spans="1:12" x14ac:dyDescent="0.25">
      <c r="B183" s="11" t="s">
        <v>23</v>
      </c>
      <c r="C183" s="3" t="s">
        <v>32</v>
      </c>
      <c r="D183" s="2" t="s">
        <v>6</v>
      </c>
      <c r="E183" t="s">
        <v>242</v>
      </c>
      <c r="F183" s="24" t="str">
        <f t="shared" ref="F183" si="75">MID(E183,26,2)</f>
        <v>18</v>
      </c>
      <c r="G183" s="24" t="str">
        <f t="shared" si="70"/>
        <v>fc</v>
      </c>
      <c r="H183" s="22">
        <f t="shared" si="71"/>
        <v>6453.6</v>
      </c>
      <c r="I183" s="22">
        <f t="shared" si="72"/>
        <v>639.6</v>
      </c>
      <c r="J183" s="21">
        <f t="shared" si="61"/>
        <v>405.6</v>
      </c>
      <c r="K183" s="21">
        <f t="shared" si="62"/>
        <v>63.6</v>
      </c>
    </row>
    <row r="184" spans="1:12" x14ac:dyDescent="0.25">
      <c r="B184" s="11" t="s">
        <v>106</v>
      </c>
      <c r="C184" s="3" t="s">
        <v>32</v>
      </c>
      <c r="D184" s="2" t="s">
        <v>6</v>
      </c>
      <c r="E184" t="s">
        <v>243</v>
      </c>
      <c r="F184" s="24" t="str">
        <f t="shared" ref="F184" si="76">MID(E184,26,2)</f>
        <v>18</v>
      </c>
      <c r="G184" s="24" t="str">
        <f t="shared" si="70"/>
        <v>fc</v>
      </c>
      <c r="H184" s="22">
        <f t="shared" si="71"/>
        <v>6453.6</v>
      </c>
      <c r="I184" s="22">
        <f t="shared" si="72"/>
        <v>639.6</v>
      </c>
      <c r="J184" s="21">
        <f t="shared" si="61"/>
        <v>405.6</v>
      </c>
      <c r="K184" s="21">
        <f t="shared" si="62"/>
        <v>63.6</v>
      </c>
    </row>
    <row r="185" spans="1:12" x14ac:dyDescent="0.25">
      <c r="B185" s="11" t="s">
        <v>107</v>
      </c>
      <c r="C185" s="3">
        <v>43</v>
      </c>
      <c r="D185" s="2" t="s">
        <v>6</v>
      </c>
      <c r="E185" s="27" t="s">
        <v>244</v>
      </c>
      <c r="F185" s="24" t="str">
        <f t="shared" ref="F185" si="77">MID(E185,26,2)</f>
        <v>ae</v>
      </c>
      <c r="G185" s="24" t="str">
        <f t="shared" si="70"/>
        <v>01</v>
      </c>
      <c r="H185" s="20">
        <f t="shared" si="71"/>
        <v>43</v>
      </c>
      <c r="I185" s="21">
        <f t="shared" si="72"/>
        <v>4454.5</v>
      </c>
      <c r="J185" s="21">
        <f t="shared" si="61"/>
        <v>19</v>
      </c>
      <c r="K185" s="21">
        <f t="shared" si="62"/>
        <v>278.5</v>
      </c>
    </row>
    <row r="186" spans="1:12" x14ac:dyDescent="0.25">
      <c r="B186" s="11" t="s">
        <v>108</v>
      </c>
      <c r="C186" s="3">
        <v>45</v>
      </c>
      <c r="D186" s="2" t="s">
        <v>6</v>
      </c>
      <c r="E186" s="27" t="s">
        <v>245</v>
      </c>
      <c r="F186" s="24" t="str">
        <f t="shared" ref="F186" si="78">MID(E186,26,2)</f>
        <v>c2</v>
      </c>
      <c r="G186" s="24" t="str">
        <f t="shared" si="70"/>
        <v>01</v>
      </c>
      <c r="H186" s="20">
        <f t="shared" si="71"/>
        <v>45</v>
      </c>
      <c r="I186" s="21">
        <f t="shared" si="72"/>
        <v>4966.5</v>
      </c>
      <c r="J186" s="21">
        <f t="shared" si="61"/>
        <v>21</v>
      </c>
      <c r="K186" s="21">
        <f t="shared" si="62"/>
        <v>310.5</v>
      </c>
    </row>
    <row r="187" spans="1:12" ht="15.75" thickBot="1" x14ac:dyDescent="0.3">
      <c r="A187" s="30"/>
      <c r="B187" s="31"/>
      <c r="C187" s="32"/>
      <c r="D187" s="33"/>
      <c r="E187" s="31"/>
      <c r="F187" s="34"/>
      <c r="G187" s="34"/>
      <c r="H187" s="31"/>
      <c r="I187" s="31"/>
      <c r="J187" s="31"/>
      <c r="K187" s="31"/>
      <c r="L187" s="31"/>
    </row>
    <row r="188" spans="1:12" s="11" customFormat="1" hidden="1" x14ac:dyDescent="0.25">
      <c r="A188" s="10" t="s">
        <v>176</v>
      </c>
      <c r="B188" s="11" t="s">
        <v>111</v>
      </c>
      <c r="C188" s="12" t="s">
        <v>125</v>
      </c>
      <c r="D188" s="13" t="s">
        <v>32</v>
      </c>
      <c r="F188" s="25"/>
      <c r="G188" s="25"/>
    </row>
    <row r="189" spans="1:12" s="11" customFormat="1" hidden="1" x14ac:dyDescent="0.25">
      <c r="A189" s="10"/>
      <c r="B189" s="11" t="s">
        <v>112</v>
      </c>
      <c r="C189" s="12">
        <v>24</v>
      </c>
      <c r="D189" s="13" t="s">
        <v>6</v>
      </c>
      <c r="F189" s="25"/>
      <c r="G189" s="25"/>
    </row>
    <row r="190" spans="1:12" s="11" customFormat="1" hidden="1" x14ac:dyDescent="0.25">
      <c r="A190" s="10"/>
      <c r="B190" s="11" t="s">
        <v>113</v>
      </c>
      <c r="C190" s="14">
        <v>16</v>
      </c>
      <c r="D190" s="13" t="s">
        <v>6</v>
      </c>
      <c r="F190" s="25"/>
      <c r="G190" s="25"/>
    </row>
    <row r="191" spans="1:12" s="11" customFormat="1" hidden="1" x14ac:dyDescent="0.25">
      <c r="A191" s="10"/>
      <c r="B191" s="11" t="s">
        <v>114</v>
      </c>
      <c r="C191" s="14">
        <v>0</v>
      </c>
      <c r="D191" s="13" t="s">
        <v>6</v>
      </c>
      <c r="F191" s="25"/>
      <c r="G191" s="25"/>
    </row>
    <row r="192" spans="1:12" s="11" customFormat="1" hidden="1" x14ac:dyDescent="0.25">
      <c r="A192" s="10"/>
      <c r="B192" s="11" t="s">
        <v>115</v>
      </c>
      <c r="C192" s="14" t="s">
        <v>109</v>
      </c>
      <c r="D192" s="13" t="s">
        <v>6</v>
      </c>
      <c r="F192" s="25"/>
      <c r="G192" s="25"/>
    </row>
    <row r="193" spans="1:7" s="11" customFormat="1" hidden="1" x14ac:dyDescent="0.25">
      <c r="A193" s="10"/>
      <c r="B193" s="11" t="s">
        <v>116</v>
      </c>
      <c r="C193" s="14" t="s">
        <v>109</v>
      </c>
      <c r="D193" s="13" t="s">
        <v>6</v>
      </c>
      <c r="F193" s="25"/>
      <c r="G193" s="25"/>
    </row>
    <row r="194" spans="1:7" s="11" customFormat="1" hidden="1" x14ac:dyDescent="0.25">
      <c r="A194" s="10"/>
      <c r="B194" s="11" t="s">
        <v>117</v>
      </c>
      <c r="C194" s="14">
        <v>12.5</v>
      </c>
      <c r="D194" s="13" t="s">
        <v>32</v>
      </c>
      <c r="F194" s="25"/>
      <c r="G194" s="25"/>
    </row>
    <row r="195" spans="1:7" s="11" customFormat="1" hidden="1" x14ac:dyDescent="0.25">
      <c r="A195" s="10"/>
      <c r="B195" s="11" t="s">
        <v>118</v>
      </c>
      <c r="C195" s="14">
        <v>10</v>
      </c>
      <c r="D195" s="13" t="s">
        <v>6</v>
      </c>
      <c r="F195" s="25"/>
      <c r="G195" s="25"/>
    </row>
    <row r="196" spans="1:7" s="11" customFormat="1" hidden="1" x14ac:dyDescent="0.25">
      <c r="A196" s="10"/>
      <c r="B196" s="11" t="s">
        <v>119</v>
      </c>
      <c r="C196" s="14">
        <v>20</v>
      </c>
      <c r="D196" s="13" t="s">
        <v>6</v>
      </c>
      <c r="F196" s="25"/>
      <c r="G196" s="25"/>
    </row>
    <row r="197" spans="1:7" s="11" customFormat="1" hidden="1" x14ac:dyDescent="0.25">
      <c r="A197" s="10"/>
      <c r="B197" s="11" t="s">
        <v>120</v>
      </c>
      <c r="C197" s="12" t="s">
        <v>166</v>
      </c>
      <c r="D197" s="13" t="s">
        <v>32</v>
      </c>
      <c r="F197" s="25"/>
      <c r="G197" s="25"/>
    </row>
    <row r="198" spans="1:7" s="11" customFormat="1" hidden="1" x14ac:dyDescent="0.25">
      <c r="A198" s="10"/>
      <c r="B198" s="11" t="s">
        <v>121</v>
      </c>
      <c r="C198" s="14" t="s">
        <v>109</v>
      </c>
      <c r="D198" s="13" t="s">
        <v>6</v>
      </c>
      <c r="F198" s="25"/>
      <c r="G198" s="25"/>
    </row>
    <row r="199" spans="1:7" s="11" customFormat="1" hidden="1" x14ac:dyDescent="0.25">
      <c r="A199" s="10"/>
      <c r="B199" s="11" t="s">
        <v>122</v>
      </c>
      <c r="C199" s="14" t="s">
        <v>109</v>
      </c>
      <c r="D199" s="13" t="s">
        <v>6</v>
      </c>
      <c r="F199" s="25"/>
      <c r="G199" s="25"/>
    </row>
    <row r="200" spans="1:7" s="11" customFormat="1" hidden="1" x14ac:dyDescent="0.25">
      <c r="A200" s="10"/>
      <c r="B200" s="11" t="s">
        <v>123</v>
      </c>
      <c r="C200" s="14" t="s">
        <v>109</v>
      </c>
      <c r="D200" s="13" t="s">
        <v>6</v>
      </c>
      <c r="F200" s="25"/>
      <c r="G200" s="25"/>
    </row>
    <row r="201" spans="1:7" s="11" customFormat="1" hidden="1" x14ac:dyDescent="0.25">
      <c r="A201" s="10"/>
      <c r="B201" s="11" t="s">
        <v>124</v>
      </c>
      <c r="C201" s="14" t="s">
        <v>109</v>
      </c>
      <c r="D201" s="13" t="s">
        <v>49</v>
      </c>
      <c r="F201" s="25"/>
      <c r="G201" s="25"/>
    </row>
    <row r="202" spans="1:7" s="11" customFormat="1" hidden="1" x14ac:dyDescent="0.25">
      <c r="A202" s="10"/>
      <c r="C202" s="12"/>
      <c r="D202" s="13"/>
      <c r="F202" s="25"/>
      <c r="G202" s="25"/>
    </row>
    <row r="203" spans="1:7" s="11" customFormat="1" hidden="1" x14ac:dyDescent="0.25">
      <c r="A203" s="10" t="s">
        <v>177</v>
      </c>
      <c r="B203" s="11" t="s">
        <v>128</v>
      </c>
      <c r="C203" s="15">
        <v>36526</v>
      </c>
      <c r="D203" s="13" t="s">
        <v>32</v>
      </c>
      <c r="F203" s="25"/>
      <c r="G203" s="25"/>
    </row>
    <row r="204" spans="1:7" s="11" customFormat="1" hidden="1" x14ac:dyDescent="0.25">
      <c r="A204" s="10"/>
      <c r="B204" s="11" t="s">
        <v>129</v>
      </c>
      <c r="C204" s="15">
        <v>36526</v>
      </c>
      <c r="D204" s="13" t="s">
        <v>32</v>
      </c>
      <c r="F204" s="25"/>
      <c r="G204" s="25"/>
    </row>
    <row r="205" spans="1:7" s="11" customFormat="1" hidden="1" x14ac:dyDescent="0.25">
      <c r="A205" s="10"/>
      <c r="B205" s="11" t="s">
        <v>130</v>
      </c>
      <c r="C205" s="12" t="s">
        <v>167</v>
      </c>
      <c r="D205" s="13" t="s">
        <v>32</v>
      </c>
      <c r="F205" s="25"/>
      <c r="G205" s="25"/>
    </row>
    <row r="206" spans="1:7" s="11" customFormat="1" hidden="1" x14ac:dyDescent="0.25">
      <c r="A206" s="10"/>
      <c r="B206" s="11" t="s">
        <v>131</v>
      </c>
      <c r="C206" s="15">
        <v>43826</v>
      </c>
      <c r="D206" s="13" t="s">
        <v>32</v>
      </c>
      <c r="F206" s="25"/>
      <c r="G206" s="25"/>
    </row>
    <row r="207" spans="1:7" s="11" customFormat="1" hidden="1" x14ac:dyDescent="0.25">
      <c r="A207" s="10"/>
      <c r="B207" s="11" t="s">
        <v>132</v>
      </c>
      <c r="C207" s="16">
        <v>0.47222222222222227</v>
      </c>
      <c r="D207" s="13" t="s">
        <v>32</v>
      </c>
      <c r="F207" s="25"/>
      <c r="G207" s="25"/>
    </row>
    <row r="208" spans="1:7" s="11" customFormat="1" hidden="1" x14ac:dyDescent="0.25">
      <c r="A208" s="10"/>
      <c r="B208" s="11" t="s">
        <v>133</v>
      </c>
      <c r="C208" s="12" t="s">
        <v>109</v>
      </c>
      <c r="D208" s="13" t="s">
        <v>32</v>
      </c>
      <c r="F208" s="25"/>
      <c r="G208" s="25"/>
    </row>
    <row r="209" spans="1:7" s="11" customFormat="1" hidden="1" x14ac:dyDescent="0.25">
      <c r="A209" s="10"/>
      <c r="B209" s="11" t="s">
        <v>134</v>
      </c>
      <c r="C209" s="12" t="s">
        <v>109</v>
      </c>
      <c r="D209" s="13" t="s">
        <v>32</v>
      </c>
      <c r="F209" s="25"/>
      <c r="G209" s="25"/>
    </row>
    <row r="210" spans="1:7" s="11" customFormat="1" hidden="1" x14ac:dyDescent="0.25">
      <c r="A210" s="10"/>
      <c r="C210" s="12"/>
      <c r="D210" s="13"/>
      <c r="F210" s="25"/>
      <c r="G210" s="25"/>
    </row>
    <row r="211" spans="1:7" s="11" customFormat="1" hidden="1" x14ac:dyDescent="0.25">
      <c r="A211" s="10" t="s">
        <v>178</v>
      </c>
      <c r="B211" s="11" t="s">
        <v>139</v>
      </c>
      <c r="C211" s="12" t="s">
        <v>146</v>
      </c>
      <c r="D211" s="13" t="s">
        <v>32</v>
      </c>
      <c r="F211" s="25"/>
      <c r="G211" s="25"/>
    </row>
    <row r="212" spans="1:7" s="11" customFormat="1" hidden="1" x14ac:dyDescent="0.25">
      <c r="A212" s="10"/>
      <c r="B212" s="11" t="s">
        <v>140</v>
      </c>
      <c r="C212" s="12" t="s">
        <v>32</v>
      </c>
      <c r="D212" s="13" t="s">
        <v>6</v>
      </c>
      <c r="F212" s="25"/>
      <c r="G212" s="25"/>
    </row>
    <row r="213" spans="1:7" s="11" customFormat="1" hidden="1" x14ac:dyDescent="0.25">
      <c r="A213" s="10"/>
      <c r="B213" s="11" t="s">
        <v>141</v>
      </c>
      <c r="C213" s="12">
        <v>30</v>
      </c>
      <c r="D213" s="13" t="s">
        <v>49</v>
      </c>
      <c r="F213" s="25"/>
      <c r="G213" s="25"/>
    </row>
    <row r="214" spans="1:7" s="11" customFormat="1" hidden="1" x14ac:dyDescent="0.25">
      <c r="A214" s="10"/>
      <c r="B214" s="11" t="s">
        <v>142</v>
      </c>
      <c r="C214" s="12">
        <v>19</v>
      </c>
      <c r="D214" s="13" t="s">
        <v>49</v>
      </c>
      <c r="F214" s="25"/>
      <c r="G214" s="25"/>
    </row>
    <row r="215" spans="1:7" s="11" customFormat="1" hidden="1" x14ac:dyDescent="0.25">
      <c r="A215" s="10"/>
      <c r="B215" s="11" t="s">
        <v>143</v>
      </c>
      <c r="C215" s="12" t="s">
        <v>32</v>
      </c>
      <c r="D215" s="13" t="s">
        <v>32</v>
      </c>
      <c r="F215" s="25"/>
      <c r="G215" s="25"/>
    </row>
    <row r="216" spans="1:7" s="11" customFormat="1" hidden="1" x14ac:dyDescent="0.25">
      <c r="A216" s="10"/>
      <c r="B216" s="11" t="s">
        <v>144</v>
      </c>
      <c r="C216" s="12" t="s">
        <v>109</v>
      </c>
      <c r="D216" s="13" t="s">
        <v>49</v>
      </c>
      <c r="F216" s="25"/>
      <c r="G216" s="25"/>
    </row>
    <row r="217" spans="1:7" s="11" customFormat="1" hidden="1" x14ac:dyDescent="0.25">
      <c r="A217" s="10"/>
      <c r="B217" s="11" t="s">
        <v>145</v>
      </c>
      <c r="C217" s="12" t="s">
        <v>181</v>
      </c>
      <c r="D217" s="13" t="s">
        <v>32</v>
      </c>
      <c r="F217" s="25"/>
      <c r="G217" s="25"/>
    </row>
    <row r="218" spans="1:7" s="11" customFormat="1" hidden="1" x14ac:dyDescent="0.25">
      <c r="A218" s="10"/>
      <c r="C218" s="12"/>
      <c r="D218" s="13"/>
      <c r="F218" s="25"/>
      <c r="G218" s="25"/>
    </row>
    <row r="219" spans="1:7" s="11" customFormat="1" hidden="1" x14ac:dyDescent="0.25">
      <c r="A219" s="10" t="s">
        <v>179</v>
      </c>
      <c r="B219" s="11" t="s">
        <v>15</v>
      </c>
      <c r="C219" s="12" t="s">
        <v>169</v>
      </c>
      <c r="D219" s="13" t="s">
        <v>32</v>
      </c>
      <c r="F219" s="25"/>
      <c r="G219" s="25"/>
    </row>
    <row r="220" spans="1:7" s="11" customFormat="1" hidden="1" x14ac:dyDescent="0.25">
      <c r="A220" s="10"/>
      <c r="B220" s="11" t="s">
        <v>149</v>
      </c>
      <c r="C220" s="12" t="s">
        <v>170</v>
      </c>
      <c r="D220" s="13" t="s">
        <v>32</v>
      </c>
      <c r="F220" s="25"/>
      <c r="G220" s="25"/>
    </row>
    <row r="221" spans="1:7" s="11" customFormat="1" hidden="1" x14ac:dyDescent="0.25">
      <c r="A221" s="10"/>
      <c r="B221" s="11" t="s">
        <v>150</v>
      </c>
      <c r="C221" s="17" t="s">
        <v>182</v>
      </c>
      <c r="D221" s="13" t="s">
        <v>32</v>
      </c>
      <c r="F221" s="25"/>
      <c r="G221" s="25"/>
    </row>
    <row r="222" spans="1:7" s="11" customFormat="1" hidden="1" x14ac:dyDescent="0.25">
      <c r="A222" s="10"/>
      <c r="B222" s="11" t="s">
        <v>151</v>
      </c>
      <c r="C222" s="17" t="s">
        <v>172</v>
      </c>
      <c r="D222" s="13" t="s">
        <v>32</v>
      </c>
      <c r="F222" s="25"/>
      <c r="G222" s="25"/>
    </row>
    <row r="223" spans="1:7" s="11" customFormat="1" hidden="1" x14ac:dyDescent="0.25">
      <c r="A223" s="10"/>
      <c r="B223" s="11" t="s">
        <v>152</v>
      </c>
      <c r="C223" s="12" t="s">
        <v>173</v>
      </c>
      <c r="D223" s="13" t="s">
        <v>32</v>
      </c>
      <c r="F223" s="25"/>
      <c r="G223" s="25"/>
    </row>
    <row r="224" spans="1:7" s="11" customFormat="1" hidden="1" x14ac:dyDescent="0.25">
      <c r="A224" s="10"/>
      <c r="B224" s="11" t="s">
        <v>153</v>
      </c>
      <c r="C224" s="12" t="s">
        <v>174</v>
      </c>
      <c r="D224" s="13" t="s">
        <v>32</v>
      </c>
      <c r="F224" s="25"/>
      <c r="G224" s="25"/>
    </row>
    <row r="225" spans="1:8" s="11" customFormat="1" hidden="1" x14ac:dyDescent="0.25">
      <c r="A225" s="10"/>
      <c r="B225" s="11" t="s">
        <v>154</v>
      </c>
      <c r="C225" s="12" t="s">
        <v>174</v>
      </c>
      <c r="D225" s="13" t="s">
        <v>32</v>
      </c>
      <c r="F225" s="25"/>
      <c r="G225" s="25"/>
    </row>
    <row r="226" spans="1:8" s="11" customFormat="1" hidden="1" x14ac:dyDescent="0.25">
      <c r="A226" s="10"/>
      <c r="C226" s="12"/>
      <c r="D226" s="13"/>
      <c r="F226" s="25"/>
      <c r="G226" s="25"/>
    </row>
    <row r="227" spans="1:8" s="11" customFormat="1" hidden="1" x14ac:dyDescent="0.25">
      <c r="A227" s="10" t="s">
        <v>180</v>
      </c>
      <c r="B227" s="11" t="s">
        <v>159</v>
      </c>
      <c r="C227" s="12"/>
      <c r="D227" s="13"/>
      <c r="F227" s="25"/>
      <c r="G227" s="25"/>
    </row>
    <row r="228" spans="1:8" ht="15.75" thickTop="1" x14ac:dyDescent="0.25">
      <c r="B228" s="11" t="s">
        <v>251</v>
      </c>
      <c r="E228" s="27" t="s">
        <v>255</v>
      </c>
      <c r="H228" s="27" t="s">
        <v>256</v>
      </c>
    </row>
    <row r="229" spans="1:8" x14ac:dyDescent="0.25">
      <c r="B229" s="26" t="s">
        <v>250</v>
      </c>
      <c r="H229" t="s">
        <v>261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</dc:creator>
  <cp:lastModifiedBy>Felix</cp:lastModifiedBy>
  <dcterms:created xsi:type="dcterms:W3CDTF">2019-12-27T08:43:39Z</dcterms:created>
  <dcterms:modified xsi:type="dcterms:W3CDTF">2019-12-27T20:09:55Z</dcterms:modified>
</cp:coreProperties>
</file>